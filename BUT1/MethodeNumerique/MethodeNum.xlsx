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F29" i="1" l="1"/>
  <c r="F30" i="1"/>
  <c r="F31" i="1"/>
  <c r="F32" i="1"/>
  <c r="F33" i="1"/>
  <c r="F34" i="1"/>
  <c r="F35" i="1"/>
  <c r="F36" i="1"/>
  <c r="F37" i="1"/>
  <c r="F38" i="1"/>
  <c r="F17" i="1"/>
  <c r="F18" i="1"/>
  <c r="F19" i="1"/>
  <c r="F20" i="1"/>
  <c r="F21" i="1"/>
  <c r="F22" i="1"/>
  <c r="F23" i="1"/>
  <c r="F24" i="1"/>
  <c r="F25" i="1"/>
  <c r="F26" i="1"/>
  <c r="F27" i="1"/>
  <c r="F28" i="1"/>
  <c r="F9" i="1"/>
  <c r="F10" i="1"/>
  <c r="F11" i="1"/>
  <c r="F12" i="1"/>
  <c r="F13" i="1"/>
  <c r="F14" i="1"/>
  <c r="F15" i="1"/>
  <c r="F16" i="1"/>
  <c r="F8" i="1"/>
  <c r="B8" i="1"/>
  <c r="G15" i="1" l="1"/>
  <c r="G11" i="1"/>
  <c r="G28" i="1"/>
  <c r="G24" i="1"/>
  <c r="G20" i="1"/>
  <c r="G37" i="1"/>
  <c r="G35" i="1"/>
  <c r="G33" i="1"/>
  <c r="G31" i="1"/>
  <c r="G29" i="1"/>
  <c r="B9" i="1"/>
  <c r="G8" i="1"/>
  <c r="G14" i="1"/>
  <c r="G10" i="1"/>
  <c r="G27" i="1"/>
  <c r="G23" i="1"/>
  <c r="G19" i="1"/>
  <c r="C8" i="1"/>
  <c r="D9" i="1" s="1"/>
  <c r="E9" i="1" s="1"/>
  <c r="G17" i="1"/>
  <c r="G13" i="1"/>
  <c r="G9" i="1"/>
  <c r="G26" i="1"/>
  <c r="G22" i="1"/>
  <c r="G38" i="1"/>
  <c r="G36" i="1"/>
  <c r="G34" i="1"/>
  <c r="G32" i="1"/>
  <c r="G30" i="1"/>
  <c r="E8" i="1"/>
  <c r="G16" i="1"/>
  <c r="G12" i="1"/>
  <c r="G18" i="1"/>
  <c r="G25" i="1"/>
  <c r="G21" i="1"/>
  <c r="C9" i="1" l="1"/>
  <c r="D10" i="1" s="1"/>
  <c r="B10" i="1"/>
  <c r="E10" i="1" s="1"/>
  <c r="C10" i="1"/>
  <c r="B11" i="1" s="1"/>
  <c r="D11" i="1" l="1"/>
  <c r="E11" i="1" s="1"/>
  <c r="C11" i="1" l="1"/>
  <c r="D12" i="1" l="1"/>
  <c r="B12" i="1"/>
  <c r="C12" i="1" l="1"/>
  <c r="B13" i="1" s="1"/>
  <c r="E12" i="1"/>
  <c r="D13" i="1" l="1"/>
  <c r="E13" i="1" s="1"/>
  <c r="C13" i="1" l="1"/>
  <c r="D14" i="1" s="1"/>
  <c r="B14" i="1"/>
  <c r="C14" i="1" l="1"/>
  <c r="E14" i="1"/>
  <c r="B15" i="1" l="1"/>
  <c r="D15" i="1"/>
  <c r="E15" i="1" s="1"/>
  <c r="C15" i="1" l="1"/>
  <c r="D16" i="1" s="1"/>
  <c r="B16" i="1"/>
  <c r="E16" i="1" s="1"/>
  <c r="C16" i="1"/>
  <c r="D17" i="1" s="1"/>
  <c r="B17" i="1" l="1"/>
  <c r="C17" i="1" s="1"/>
  <c r="D18" i="1" s="1"/>
  <c r="E17" i="1" l="1"/>
  <c r="B18" i="1"/>
  <c r="E18" i="1" l="1"/>
  <c r="C18" i="1"/>
  <c r="D19" i="1" s="1"/>
  <c r="B19" i="1" l="1"/>
  <c r="E19" i="1" s="1"/>
  <c r="C19" i="1"/>
  <c r="B20" i="1" s="1"/>
  <c r="D20" i="1" l="1"/>
  <c r="E20" i="1"/>
  <c r="C20" i="1"/>
  <c r="B21" i="1" s="1"/>
  <c r="D21" i="1" l="1"/>
  <c r="C21" i="1"/>
  <c r="B22" i="1" s="1"/>
  <c r="E21" i="1"/>
  <c r="D22" i="1" l="1"/>
  <c r="E22" i="1" s="1"/>
  <c r="C22" i="1" l="1"/>
  <c r="D23" i="1" s="1"/>
  <c r="B23" i="1" l="1"/>
  <c r="E23" i="1" s="1"/>
  <c r="C23" i="1" l="1"/>
  <c r="B24" i="1" s="1"/>
  <c r="D24" i="1" l="1"/>
  <c r="E24" i="1" s="1"/>
  <c r="C24" i="1" l="1"/>
  <c r="D25" i="1" s="1"/>
  <c r="B25" i="1" l="1"/>
  <c r="C25" i="1" l="1"/>
  <c r="D26" i="1" s="1"/>
  <c r="E25" i="1"/>
  <c r="B26" i="1" l="1"/>
  <c r="E26" i="1" l="1"/>
  <c r="C26" i="1"/>
  <c r="D27" i="1" s="1"/>
  <c r="B27" i="1" l="1"/>
  <c r="C27" i="1" l="1"/>
  <c r="B28" i="1" s="1"/>
  <c r="E27" i="1"/>
  <c r="D28" i="1" l="1"/>
  <c r="E28" i="1" s="1"/>
  <c r="C28" i="1" l="1"/>
  <c r="B29" i="1" l="1"/>
  <c r="D29" i="1"/>
  <c r="E29" i="1" s="1"/>
  <c r="C29" i="1" l="1"/>
  <c r="B30" i="1"/>
  <c r="D30" i="1"/>
  <c r="E30" i="1" s="1"/>
  <c r="C30" i="1" l="1"/>
  <c r="D31" i="1"/>
  <c r="B31" i="1"/>
  <c r="C31" i="1" l="1"/>
  <c r="D32" i="1" s="1"/>
  <c r="B32" i="1"/>
  <c r="E31" i="1"/>
  <c r="C32" i="1" l="1"/>
  <c r="B33" i="1" s="1"/>
  <c r="D33" i="1"/>
  <c r="E33" i="1" s="1"/>
  <c r="E32" i="1"/>
  <c r="C33" i="1" l="1"/>
  <c r="B34" i="1" s="1"/>
  <c r="D34" i="1"/>
  <c r="E34" i="1" s="1"/>
  <c r="C34" i="1" l="1"/>
  <c r="B35" i="1" s="1"/>
  <c r="D35" i="1"/>
  <c r="C35" i="1" l="1"/>
  <c r="D36" i="1" s="1"/>
  <c r="E35" i="1"/>
  <c r="B36" i="1" l="1"/>
  <c r="C36" i="1" l="1"/>
  <c r="B37" i="1" s="1"/>
  <c r="D37" i="1"/>
  <c r="E37" i="1" s="1"/>
  <c r="E36" i="1"/>
  <c r="C37" i="1" l="1"/>
  <c r="B38" i="1"/>
  <c r="D38" i="1"/>
  <c r="E38" i="1" s="1"/>
  <c r="B6" i="1" l="1"/>
  <c r="C38" i="1"/>
  <c r="H20" i="1" l="1"/>
  <c r="H15" i="1"/>
  <c r="H22" i="1"/>
  <c r="H10" i="1"/>
  <c r="H23" i="1"/>
  <c r="H11" i="1"/>
  <c r="H18" i="1"/>
  <c r="H26" i="1"/>
  <c r="H14" i="1"/>
  <c r="H19" i="1"/>
  <c r="H27" i="1"/>
  <c r="H13" i="1"/>
  <c r="H17" i="1"/>
  <c r="H24" i="1"/>
  <c r="H9" i="1"/>
  <c r="H16" i="1"/>
  <c r="H25" i="1"/>
  <c r="H12" i="1"/>
  <c r="H29" i="1"/>
  <c r="H8" i="1"/>
  <c r="H21" i="1"/>
  <c r="H28" i="1"/>
  <c r="H30" i="1"/>
  <c r="H31" i="1"/>
  <c r="H32" i="1"/>
  <c r="H33" i="1"/>
  <c r="H34" i="1"/>
  <c r="H35" i="1"/>
  <c r="H36" i="1"/>
  <c r="H37" i="1"/>
  <c r="H38" i="1"/>
</calcChain>
</file>

<file path=xl/sharedStrings.xml><?xml version="1.0" encoding="utf-8"?>
<sst xmlns="http://schemas.openxmlformats.org/spreadsheetml/2006/main" count="15" uniqueCount="15">
  <si>
    <t>Exercice 5</t>
  </si>
  <si>
    <t>n</t>
  </si>
  <si>
    <t>a_n</t>
  </si>
  <si>
    <t>c_n=(a_n+b_n)/2</t>
  </si>
  <si>
    <t>b_n</t>
  </si>
  <si>
    <t>b_n-a_n</t>
  </si>
  <si>
    <t>N</t>
  </si>
  <si>
    <t>I-a_n</t>
  </si>
  <si>
    <t>Solution L env.</t>
  </si>
  <si>
    <t>epsilon=10^()</t>
  </si>
  <si>
    <t>f(x)=x^3-9x+7</t>
  </si>
  <si>
    <t>[a,b]=[7/3,3]</t>
  </si>
  <si>
    <t>10.-3</t>
  </si>
  <si>
    <t>10.-6</t>
  </si>
  <si>
    <t>Comme (X,Y) est proche de 1, la corrélation linéaire entre X et Y est forte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</si>
</sst>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4"/>
  <sheetViews>
    <sheetView tabSelected="1" topLeftCell="A33" workbookViewId="0">
      <selection activeCell="B44" sqref="B44"/>
    </sheetView>
  </sheetViews>
  <sheetFormatPr baseColWidth="10" defaultColWidth="9.140625" defaultRowHeight="15" x14ac:dyDescent="0.25"/>
  <cols>
    <col min="1" max="1" width="14" style="1" bestFit="1" customWidth="1"/>
    <col min="2" max="2" width="12" style="1" bestFit="1" customWidth="1"/>
    <col min="3" max="3" width="15.7109375" style="1" bestFit="1" customWidth="1"/>
    <col min="4" max="5" width="12" style="1" bestFit="1" customWidth="1"/>
    <col min="6" max="6" width="13" style="1" bestFit="1" customWidth="1"/>
    <col min="7" max="7" width="4" style="1" bestFit="1" customWidth="1"/>
    <col min="8" max="8" width="9.5703125" style="1" bestFit="1" customWidth="1"/>
    <col min="9" max="16384" width="9.140625" style="1"/>
  </cols>
  <sheetData>
    <row r="3" spans="1:10" x14ac:dyDescent="0.25">
      <c r="A3" s="1" t="s">
        <v>0</v>
      </c>
    </row>
    <row r="4" spans="1:10" x14ac:dyDescent="0.25">
      <c r="A4" s="1" t="s">
        <v>10</v>
      </c>
    </row>
    <row r="5" spans="1:10" x14ac:dyDescent="0.25">
      <c r="A5" s="1" t="s">
        <v>11</v>
      </c>
    </row>
    <row r="6" spans="1:10" x14ac:dyDescent="0.25">
      <c r="A6" s="1" t="s">
        <v>8</v>
      </c>
      <c r="B6" s="1">
        <f>B38</f>
        <v>2.4870507220427198</v>
      </c>
    </row>
    <row r="7" spans="1:10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9</v>
      </c>
      <c r="G7" s="1" t="s">
        <v>6</v>
      </c>
      <c r="H7" s="1" t="s">
        <v>7</v>
      </c>
    </row>
    <row r="8" spans="1:10" x14ac:dyDescent="0.25">
      <c r="A8" s="1">
        <v>0</v>
      </c>
      <c r="B8" s="1">
        <f>7/3</f>
        <v>2.3333333333333335</v>
      </c>
      <c r="C8" s="1">
        <f>(B8+D8)/2</f>
        <v>2.666666666666667</v>
      </c>
      <c r="D8" s="1">
        <v>3</v>
      </c>
      <c r="E8" s="1">
        <f>D8-B8</f>
        <v>0.66666666666666652</v>
      </c>
      <c r="F8" s="1">
        <f>10^(-A8)</f>
        <v>1</v>
      </c>
      <c r="G8" s="1">
        <f>_xlfn.CEILING.MATH(LN(D$8-B$8)+A8*LN(10)/LN(2))</f>
        <v>0</v>
      </c>
      <c r="H8" s="1">
        <f>B$6-B8</f>
        <v>0.15371738870938634</v>
      </c>
    </row>
    <row r="9" spans="1:10" x14ac:dyDescent="0.25">
      <c r="A9" s="1">
        <v>1</v>
      </c>
      <c r="B9" s="1">
        <f>IF((B8^3-9*B8+7)*(C8^3-9*C8+7)&lt;0,B8,C8)</f>
        <v>2.3333333333333335</v>
      </c>
      <c r="C9" s="1">
        <f t="shared" ref="C9:C38" si="0">(B9+D9)/2</f>
        <v>2.5</v>
      </c>
      <c r="D9" s="1">
        <f>IF((B8^3-9*B8+7)*(C8^3-9*C8+7)&lt;0,C8,D8)</f>
        <v>2.666666666666667</v>
      </c>
      <c r="E9" s="1">
        <f t="shared" ref="E9:E17" si="1">D9-B9</f>
        <v>0.33333333333333348</v>
      </c>
      <c r="F9" s="1">
        <f t="shared" ref="F9:F28" si="2">10^(-A9)</f>
        <v>0.1</v>
      </c>
      <c r="G9" s="1">
        <f t="shared" ref="G9:G17" si="3">_xlfn.CEILING.MATH(LN(D$8-B$8)+A9*LN(10)/LN(2))</f>
        <v>3</v>
      </c>
      <c r="H9" s="1">
        <f t="shared" ref="H9:H28" si="4">B$6-B9</f>
        <v>0.15371738870938634</v>
      </c>
    </row>
    <row r="10" spans="1:10" x14ac:dyDescent="0.25">
      <c r="A10" s="1">
        <v>2</v>
      </c>
      <c r="B10" s="1">
        <f t="shared" ref="B10:B17" si="5">IF((B9^3-9*B9+7)*(C9^3-9*C9+7)&lt;0,B9,C9)</f>
        <v>2.3333333333333335</v>
      </c>
      <c r="C10" s="1">
        <f t="shared" si="0"/>
        <v>2.416666666666667</v>
      </c>
      <c r="D10" s="1">
        <f>IF((B9^3-9*B9+7)*(C9^3-9*C9+7)&lt;0,C9,D9)</f>
        <v>2.5</v>
      </c>
      <c r="E10" s="1">
        <f t="shared" si="1"/>
        <v>0.16666666666666652</v>
      </c>
      <c r="F10" s="1">
        <f t="shared" si="2"/>
        <v>0.01</v>
      </c>
      <c r="G10" s="1">
        <f t="shared" si="3"/>
        <v>7</v>
      </c>
      <c r="H10" s="1">
        <f t="shared" si="4"/>
        <v>0.15371738870938634</v>
      </c>
    </row>
    <row r="11" spans="1:10" x14ac:dyDescent="0.25">
      <c r="A11" s="1">
        <v>3</v>
      </c>
      <c r="B11" s="1">
        <f t="shared" si="5"/>
        <v>2.416666666666667</v>
      </c>
      <c r="C11" s="1">
        <f t="shared" si="0"/>
        <v>2.4583333333333335</v>
      </c>
      <c r="D11" s="1">
        <f t="shared" ref="D11:D27" si="6">IF((B10^3-9*B10+7)*(C10^3-9*C10+7)&lt;0,C10,D10)</f>
        <v>2.5</v>
      </c>
      <c r="E11" s="1">
        <f t="shared" si="1"/>
        <v>8.3333333333333037E-2</v>
      </c>
      <c r="F11" s="1">
        <f t="shared" si="2"/>
        <v>1E-3</v>
      </c>
      <c r="G11" s="1">
        <f t="shared" si="3"/>
        <v>10</v>
      </c>
      <c r="H11" s="1">
        <f t="shared" si="4"/>
        <v>7.0384055376052856E-2</v>
      </c>
    </row>
    <row r="12" spans="1:10" x14ac:dyDescent="0.25">
      <c r="A12" s="1">
        <v>4</v>
      </c>
      <c r="B12" s="1">
        <f t="shared" si="5"/>
        <v>2.4583333333333335</v>
      </c>
      <c r="C12" s="1">
        <f t="shared" si="0"/>
        <v>2.479166666666667</v>
      </c>
      <c r="D12" s="1">
        <f t="shared" si="6"/>
        <v>2.5</v>
      </c>
      <c r="E12" s="1">
        <f t="shared" si="1"/>
        <v>4.1666666666666519E-2</v>
      </c>
      <c r="F12" s="1">
        <f t="shared" si="2"/>
        <v>1E-4</v>
      </c>
      <c r="G12" s="1">
        <f t="shared" si="3"/>
        <v>13</v>
      </c>
      <c r="H12" s="1">
        <f t="shared" si="4"/>
        <v>2.8717388709386338E-2</v>
      </c>
    </row>
    <row r="13" spans="1:10" x14ac:dyDescent="0.25">
      <c r="A13" s="1">
        <v>5</v>
      </c>
      <c r="B13" s="1">
        <f t="shared" si="5"/>
        <v>2.479166666666667</v>
      </c>
      <c r="C13" s="1">
        <f t="shared" si="0"/>
        <v>2.4895833333333335</v>
      </c>
      <c r="D13" s="1">
        <f t="shared" si="6"/>
        <v>2.5</v>
      </c>
      <c r="E13" s="1">
        <f t="shared" si="1"/>
        <v>2.0833333333333037E-2</v>
      </c>
      <c r="F13" s="1">
        <f t="shared" si="2"/>
        <v>1.0000000000000001E-5</v>
      </c>
      <c r="G13" s="1">
        <f t="shared" si="3"/>
        <v>17</v>
      </c>
      <c r="H13" s="1">
        <f t="shared" si="4"/>
        <v>7.8840553760528564E-3</v>
      </c>
    </row>
    <row r="14" spans="1:10" x14ac:dyDescent="0.25">
      <c r="A14" s="1">
        <v>6</v>
      </c>
      <c r="B14" s="1">
        <f t="shared" si="5"/>
        <v>2.479166666666667</v>
      </c>
      <c r="C14" s="1">
        <f t="shared" si="0"/>
        <v>2.484375</v>
      </c>
      <c r="D14" s="1">
        <f t="shared" si="6"/>
        <v>2.4895833333333335</v>
      </c>
      <c r="E14" s="1">
        <f t="shared" si="1"/>
        <v>1.0416666666666519E-2</v>
      </c>
      <c r="F14" s="1">
        <f t="shared" si="2"/>
        <v>9.9999999999999995E-7</v>
      </c>
      <c r="G14" s="1">
        <f t="shared" si="3"/>
        <v>20</v>
      </c>
      <c r="H14" s="1">
        <f t="shared" si="4"/>
        <v>7.8840553760528564E-3</v>
      </c>
    </row>
    <row r="15" spans="1:10" x14ac:dyDescent="0.25">
      <c r="A15" s="1">
        <v>7</v>
      </c>
      <c r="B15" s="1">
        <f t="shared" si="5"/>
        <v>2.484375</v>
      </c>
      <c r="C15" s="1">
        <f t="shared" si="0"/>
        <v>2.486979166666667</v>
      </c>
      <c r="D15" s="1">
        <f t="shared" si="6"/>
        <v>2.4895833333333335</v>
      </c>
      <c r="E15" s="1">
        <f t="shared" si="1"/>
        <v>5.2083333333334814E-3</v>
      </c>
      <c r="F15" s="1">
        <f t="shared" si="2"/>
        <v>9.9999999999999995E-8</v>
      </c>
      <c r="G15" s="1">
        <f t="shared" si="3"/>
        <v>23</v>
      </c>
      <c r="H15" s="1">
        <f t="shared" si="4"/>
        <v>2.6757220427198192E-3</v>
      </c>
    </row>
    <row r="16" spans="1:10" x14ac:dyDescent="0.25">
      <c r="A16" s="2">
        <v>8</v>
      </c>
      <c r="B16" s="2">
        <f t="shared" si="5"/>
        <v>2.486979166666667</v>
      </c>
      <c r="C16" s="2">
        <f t="shared" si="0"/>
        <v>2.48828125</v>
      </c>
      <c r="D16" s="2">
        <f t="shared" si="6"/>
        <v>2.4895833333333335</v>
      </c>
      <c r="E16" s="2">
        <f t="shared" si="1"/>
        <v>2.6041666666665186E-3</v>
      </c>
      <c r="F16" s="2">
        <f t="shared" si="2"/>
        <v>1E-8</v>
      </c>
      <c r="G16" s="2">
        <f t="shared" si="3"/>
        <v>27</v>
      </c>
      <c r="H16" s="2">
        <f t="shared" si="4"/>
        <v>7.1555376052856445E-5</v>
      </c>
      <c r="J16" s="1" t="s">
        <v>12</v>
      </c>
    </row>
    <row r="17" spans="1:10" x14ac:dyDescent="0.25">
      <c r="A17" s="1">
        <v>9</v>
      </c>
      <c r="B17" s="1">
        <f t="shared" si="5"/>
        <v>2.486979166666667</v>
      </c>
      <c r="C17" s="1">
        <f t="shared" si="0"/>
        <v>2.4876302083333335</v>
      </c>
      <c r="D17" s="1">
        <f t="shared" si="6"/>
        <v>2.48828125</v>
      </c>
      <c r="E17" s="1">
        <f t="shared" si="1"/>
        <v>1.3020833333330373E-3</v>
      </c>
      <c r="F17" s="1">
        <f t="shared" si="2"/>
        <v>1.0000000000000001E-9</v>
      </c>
      <c r="G17" s="1">
        <f t="shared" si="3"/>
        <v>30</v>
      </c>
      <c r="H17" s="1">
        <f t="shared" si="4"/>
        <v>7.1555376052856445E-5</v>
      </c>
    </row>
    <row r="18" spans="1:10" x14ac:dyDescent="0.25">
      <c r="A18" s="1">
        <v>10</v>
      </c>
      <c r="B18" s="1">
        <f t="shared" ref="B18" si="7">IF((B17^3-9*B17+7)*(C17^3-9*C17+7)&lt;0,B17,C17)</f>
        <v>2.486979166666667</v>
      </c>
      <c r="C18" s="1">
        <f t="shared" si="0"/>
        <v>2.4873046875</v>
      </c>
      <c r="D18" s="1">
        <f t="shared" si="6"/>
        <v>2.4876302083333335</v>
      </c>
      <c r="E18" s="1">
        <f t="shared" ref="E18" si="8">D18-B18</f>
        <v>6.5104166666651864E-4</v>
      </c>
      <c r="F18" s="1">
        <f t="shared" si="2"/>
        <v>1E-10</v>
      </c>
      <c r="G18" s="1">
        <f>_xlfn.CEILING.MATH(LN(D$8-B$8)+A18*LN(10)/LN(2))</f>
        <v>33</v>
      </c>
      <c r="H18" s="1">
        <f t="shared" si="4"/>
        <v>7.1555376052856445E-5</v>
      </c>
    </row>
    <row r="19" spans="1:10" x14ac:dyDescent="0.25">
      <c r="A19" s="1">
        <v>11</v>
      </c>
      <c r="B19" s="1">
        <f t="shared" ref="B19:B28" si="9">IF((B18^3-9*B18+7)*(C18^3-9*C18+7)&lt;0,B18,C18)</f>
        <v>2.486979166666667</v>
      </c>
      <c r="C19" s="1">
        <f t="shared" si="0"/>
        <v>2.4871419270833335</v>
      </c>
      <c r="D19" s="1">
        <f t="shared" si="6"/>
        <v>2.4873046875</v>
      </c>
      <c r="E19" s="1">
        <f t="shared" ref="E19:E28" si="10">D19-B19</f>
        <v>3.2552083333303727E-4</v>
      </c>
      <c r="F19" s="1">
        <f t="shared" si="2"/>
        <v>9.9999999999999994E-12</v>
      </c>
      <c r="G19" s="1">
        <f t="shared" ref="G19:G28" si="11">_xlfn.CEILING.MATH(LN(D$8-B$8)+A19*LN(10)/LN(2))</f>
        <v>37</v>
      </c>
      <c r="H19" s="1">
        <f t="shared" si="4"/>
        <v>7.1555376052856445E-5</v>
      </c>
    </row>
    <row r="20" spans="1:10" x14ac:dyDescent="0.25">
      <c r="A20" s="1">
        <v>12</v>
      </c>
      <c r="B20" s="1">
        <f t="shared" si="9"/>
        <v>2.486979166666667</v>
      </c>
      <c r="C20" s="1">
        <f t="shared" si="0"/>
        <v>2.487060546875</v>
      </c>
      <c r="D20" s="1">
        <f t="shared" si="6"/>
        <v>2.4871419270833335</v>
      </c>
      <c r="E20" s="1">
        <f t="shared" si="10"/>
        <v>1.6276041666651864E-4</v>
      </c>
      <c r="F20" s="1">
        <f t="shared" si="2"/>
        <v>9.9999999999999998E-13</v>
      </c>
      <c r="G20" s="1">
        <f t="shared" si="11"/>
        <v>40</v>
      </c>
      <c r="H20" s="1">
        <f t="shared" si="4"/>
        <v>7.1555376052856445E-5</v>
      </c>
    </row>
    <row r="21" spans="1:10" x14ac:dyDescent="0.25">
      <c r="A21" s="1">
        <v>13</v>
      </c>
      <c r="B21" s="1">
        <f t="shared" si="9"/>
        <v>2.486979166666667</v>
      </c>
      <c r="C21" s="1">
        <f t="shared" si="0"/>
        <v>2.4870198567708335</v>
      </c>
      <c r="D21" s="1">
        <f t="shared" si="6"/>
        <v>2.487060546875</v>
      </c>
      <c r="E21" s="1">
        <f t="shared" si="10"/>
        <v>8.1380208333037274E-5</v>
      </c>
      <c r="F21" s="1">
        <f t="shared" si="2"/>
        <v>1E-13</v>
      </c>
      <c r="G21" s="1">
        <f t="shared" si="11"/>
        <v>43</v>
      </c>
      <c r="H21" s="1">
        <f t="shared" si="4"/>
        <v>7.1555376052856445E-5</v>
      </c>
    </row>
    <row r="22" spans="1:10" x14ac:dyDescent="0.25">
      <c r="A22" s="1">
        <v>14</v>
      </c>
      <c r="B22" s="1">
        <f t="shared" si="9"/>
        <v>2.4870198567708335</v>
      </c>
      <c r="C22" s="1">
        <f t="shared" si="0"/>
        <v>2.487040201822917</v>
      </c>
      <c r="D22" s="1">
        <f t="shared" si="6"/>
        <v>2.487060546875</v>
      </c>
      <c r="E22" s="1">
        <f t="shared" si="10"/>
        <v>4.0690104166518637E-5</v>
      </c>
      <c r="F22" s="1">
        <f t="shared" si="2"/>
        <v>1E-14</v>
      </c>
      <c r="G22" s="1">
        <f t="shared" si="11"/>
        <v>47</v>
      </c>
      <c r="H22" s="1">
        <f t="shared" si="4"/>
        <v>3.0865271886337808E-5</v>
      </c>
    </row>
    <row r="23" spans="1:10" x14ac:dyDescent="0.25">
      <c r="A23" s="1">
        <v>15</v>
      </c>
      <c r="B23" s="1">
        <f t="shared" si="9"/>
        <v>2.487040201822917</v>
      </c>
      <c r="C23" s="1">
        <f t="shared" si="0"/>
        <v>2.4870503743489585</v>
      </c>
      <c r="D23" s="1">
        <f t="shared" si="6"/>
        <v>2.487060546875</v>
      </c>
      <c r="E23" s="1">
        <f t="shared" si="10"/>
        <v>2.0345052083037274E-5</v>
      </c>
      <c r="F23" s="1">
        <f t="shared" si="2"/>
        <v>1.0000000000000001E-15</v>
      </c>
      <c r="G23" s="1">
        <f t="shared" si="11"/>
        <v>50</v>
      </c>
      <c r="H23" s="1">
        <f t="shared" si="4"/>
        <v>1.0520219802856445E-5</v>
      </c>
    </row>
    <row r="24" spans="1:10" x14ac:dyDescent="0.25">
      <c r="A24" s="2">
        <v>16</v>
      </c>
      <c r="B24" s="2">
        <f t="shared" si="9"/>
        <v>2.4870503743489585</v>
      </c>
      <c r="C24" s="2">
        <f t="shared" si="0"/>
        <v>2.4870554606119795</v>
      </c>
      <c r="D24" s="2">
        <f t="shared" si="6"/>
        <v>2.487060546875</v>
      </c>
      <c r="E24" s="2">
        <f t="shared" si="10"/>
        <v>1.0172526041518637E-5</v>
      </c>
      <c r="F24" s="2">
        <f t="shared" si="2"/>
        <v>9.9999999999999998E-17</v>
      </c>
      <c r="G24" s="2">
        <f t="shared" si="11"/>
        <v>53</v>
      </c>
      <c r="H24" s="2">
        <f t="shared" si="4"/>
        <v>3.4769376133780838E-7</v>
      </c>
      <c r="J24" s="1" t="s">
        <v>13</v>
      </c>
    </row>
    <row r="25" spans="1:10" x14ac:dyDescent="0.25">
      <c r="A25" s="1">
        <v>17</v>
      </c>
      <c r="B25" s="1">
        <f t="shared" si="9"/>
        <v>2.4870503743489585</v>
      </c>
      <c r="C25" s="1">
        <f t="shared" si="0"/>
        <v>2.4870529174804687</v>
      </c>
      <c r="D25" s="1">
        <f t="shared" si="6"/>
        <v>2.4870554606119795</v>
      </c>
      <c r="E25" s="1">
        <f t="shared" si="10"/>
        <v>5.0862630209813631E-6</v>
      </c>
      <c r="F25" s="1">
        <f t="shared" si="2"/>
        <v>1.0000000000000001E-17</v>
      </c>
      <c r="G25" s="1">
        <f t="shared" si="11"/>
        <v>57</v>
      </c>
      <c r="H25" s="1">
        <f t="shared" si="4"/>
        <v>3.4769376133780838E-7</v>
      </c>
    </row>
    <row r="26" spans="1:10" x14ac:dyDescent="0.25">
      <c r="A26" s="1">
        <v>18</v>
      </c>
      <c r="B26" s="1">
        <f t="shared" si="9"/>
        <v>2.4870503743489585</v>
      </c>
      <c r="C26" s="1">
        <f t="shared" si="0"/>
        <v>2.4870516459147138</v>
      </c>
      <c r="D26" s="1">
        <f t="shared" si="6"/>
        <v>2.4870529174804687</v>
      </c>
      <c r="E26" s="1">
        <f t="shared" si="10"/>
        <v>2.5431315102686369E-6</v>
      </c>
      <c r="F26" s="1">
        <f t="shared" si="2"/>
        <v>1.0000000000000001E-18</v>
      </c>
      <c r="G26" s="1">
        <f t="shared" si="11"/>
        <v>60</v>
      </c>
      <c r="H26" s="1">
        <f t="shared" si="4"/>
        <v>3.4769376133780838E-7</v>
      </c>
    </row>
    <row r="27" spans="1:10" x14ac:dyDescent="0.25">
      <c r="A27" s="1">
        <v>19</v>
      </c>
      <c r="B27" s="1">
        <f t="shared" si="9"/>
        <v>2.4870503743489585</v>
      </c>
      <c r="C27" s="1">
        <f t="shared" si="0"/>
        <v>2.4870510101318359</v>
      </c>
      <c r="D27" s="1">
        <f t="shared" si="6"/>
        <v>2.4870516459147138</v>
      </c>
      <c r="E27" s="1">
        <f t="shared" si="10"/>
        <v>1.2715657553563631E-6</v>
      </c>
      <c r="F27" s="1">
        <f t="shared" si="2"/>
        <v>9.9999999999999998E-20</v>
      </c>
      <c r="G27" s="1">
        <f t="shared" si="11"/>
        <v>63</v>
      </c>
      <c r="H27" s="1">
        <f t="shared" si="4"/>
        <v>3.4769376133780838E-7</v>
      </c>
    </row>
    <row r="28" spans="1:10" x14ac:dyDescent="0.25">
      <c r="A28" s="1">
        <v>20</v>
      </c>
      <c r="B28" s="1">
        <f t="shared" si="9"/>
        <v>2.4870503743489585</v>
      </c>
      <c r="C28" s="1">
        <f t="shared" si="0"/>
        <v>2.4870506922403974</v>
      </c>
      <c r="D28" s="1">
        <f>IF((B27^3-9*B27+7)*(C27^3-9*C27+7)&lt;0,C27,D27)</f>
        <v>2.4870510101318359</v>
      </c>
      <c r="E28" s="1">
        <f t="shared" si="10"/>
        <v>6.3578287745613693E-7</v>
      </c>
      <c r="F28" s="1">
        <f t="shared" si="2"/>
        <v>9.9999999999999995E-21</v>
      </c>
      <c r="G28" s="1">
        <f t="shared" si="11"/>
        <v>67</v>
      </c>
      <c r="H28" s="1">
        <f t="shared" si="4"/>
        <v>3.4769376133780838E-7</v>
      </c>
    </row>
    <row r="29" spans="1:10" x14ac:dyDescent="0.25">
      <c r="A29" s="1">
        <v>21</v>
      </c>
      <c r="B29" s="1">
        <f t="shared" ref="B29:B38" si="12">IF((B28^3-9*B28+7)*(C28^3-9*C28+7)&lt;0,B28,C28)</f>
        <v>2.4870506922403974</v>
      </c>
      <c r="C29" s="1">
        <f t="shared" si="0"/>
        <v>2.4870508511861167</v>
      </c>
      <c r="D29" s="1">
        <f t="shared" ref="D29:D38" si="13">IF((B28^3-9*B28+7)*(C28^3-9*C28+7)&lt;0,C28,D28)</f>
        <v>2.4870510101318359</v>
      </c>
      <c r="E29" s="1">
        <f t="shared" ref="E29:E38" si="14">D29-B29</f>
        <v>3.1789143850602386E-7</v>
      </c>
      <c r="F29" s="1">
        <f t="shared" ref="F29:F38" si="15">10^(-A29)</f>
        <v>9.9999999999999991E-22</v>
      </c>
      <c r="G29" s="1">
        <f t="shared" ref="G29:G38" si="16">_xlfn.CEILING.MATH(LN(D$8-B$8)+A29*LN(10)/LN(2))</f>
        <v>70</v>
      </c>
      <c r="H29" s="1">
        <f t="shared" ref="H29:H38" si="17">B$6-B29</f>
        <v>2.9802322387695313E-8</v>
      </c>
    </row>
    <row r="30" spans="1:10" x14ac:dyDescent="0.25">
      <c r="A30" s="1">
        <v>22</v>
      </c>
      <c r="B30" s="1">
        <f t="shared" si="12"/>
        <v>2.4870506922403974</v>
      </c>
      <c r="C30" s="1">
        <f t="shared" si="0"/>
        <v>2.4870507717132568</v>
      </c>
      <c r="D30" s="1">
        <f t="shared" si="13"/>
        <v>2.4870508511861167</v>
      </c>
      <c r="E30" s="1">
        <f t="shared" si="14"/>
        <v>1.5894571925301193E-7</v>
      </c>
      <c r="F30" s="1">
        <f t="shared" si="15"/>
        <v>1E-22</v>
      </c>
      <c r="G30" s="1">
        <f t="shared" si="16"/>
        <v>73</v>
      </c>
      <c r="H30" s="1">
        <f t="shared" si="17"/>
        <v>2.9802322387695313E-8</v>
      </c>
    </row>
    <row r="31" spans="1:10" x14ac:dyDescent="0.25">
      <c r="A31" s="1">
        <v>23</v>
      </c>
      <c r="B31" s="1">
        <f t="shared" si="12"/>
        <v>2.4870506922403974</v>
      </c>
      <c r="C31" s="1">
        <f t="shared" si="0"/>
        <v>2.4870507319768271</v>
      </c>
      <c r="D31" s="1">
        <f t="shared" si="13"/>
        <v>2.4870507717132568</v>
      </c>
      <c r="E31" s="1">
        <f t="shared" si="14"/>
        <v>7.947285940446136E-8</v>
      </c>
      <c r="F31" s="1">
        <f t="shared" si="15"/>
        <v>1.0000000000000001E-23</v>
      </c>
      <c r="G31" s="1">
        <f t="shared" si="16"/>
        <v>76</v>
      </c>
      <c r="H31" s="1">
        <f t="shared" si="17"/>
        <v>2.9802322387695313E-8</v>
      </c>
    </row>
    <row r="32" spans="1:10" x14ac:dyDescent="0.25">
      <c r="A32" s="1">
        <v>24</v>
      </c>
      <c r="B32" s="1">
        <f t="shared" si="12"/>
        <v>2.4870506922403974</v>
      </c>
      <c r="C32" s="1">
        <f t="shared" si="0"/>
        <v>2.4870507121086121</v>
      </c>
      <c r="D32" s="1">
        <f t="shared" si="13"/>
        <v>2.4870507319768271</v>
      </c>
      <c r="E32" s="1">
        <f t="shared" si="14"/>
        <v>3.973642970223068E-8</v>
      </c>
      <c r="F32" s="1">
        <f t="shared" si="15"/>
        <v>1.0000000000000001E-24</v>
      </c>
      <c r="G32" s="1">
        <f t="shared" si="16"/>
        <v>80</v>
      </c>
      <c r="H32" s="1">
        <f t="shared" si="17"/>
        <v>2.9802322387695313E-8</v>
      </c>
    </row>
    <row r="33" spans="1:8" x14ac:dyDescent="0.25">
      <c r="A33" s="1">
        <v>25</v>
      </c>
      <c r="B33" s="1">
        <f t="shared" si="12"/>
        <v>2.4870507121086121</v>
      </c>
      <c r="C33" s="1">
        <f t="shared" si="0"/>
        <v>2.4870507220427198</v>
      </c>
      <c r="D33" s="1">
        <f t="shared" si="13"/>
        <v>2.4870507319768271</v>
      </c>
      <c r="E33" s="1">
        <f t="shared" si="14"/>
        <v>1.9868215073159945E-8</v>
      </c>
      <c r="F33" s="1">
        <f t="shared" si="15"/>
        <v>9.9999999999999992E-26</v>
      </c>
      <c r="G33" s="1">
        <f t="shared" si="16"/>
        <v>83</v>
      </c>
      <c r="H33" s="1">
        <f t="shared" si="17"/>
        <v>9.9341077586245774E-9</v>
      </c>
    </row>
    <row r="34" spans="1:8" x14ac:dyDescent="0.25">
      <c r="A34" s="1">
        <v>26</v>
      </c>
      <c r="B34" s="1">
        <f t="shared" si="12"/>
        <v>2.4870507220427198</v>
      </c>
      <c r="C34" s="1">
        <f t="shared" si="0"/>
        <v>2.4870507270097733</v>
      </c>
      <c r="D34" s="1">
        <f t="shared" si="13"/>
        <v>2.4870507319768271</v>
      </c>
      <c r="E34" s="1">
        <f t="shared" si="14"/>
        <v>9.9341073145353675E-9</v>
      </c>
      <c r="F34" s="1">
        <f t="shared" si="15"/>
        <v>9.999999999999999E-27</v>
      </c>
      <c r="G34" s="1">
        <f t="shared" si="16"/>
        <v>86</v>
      </c>
      <c r="H34" s="1">
        <f t="shared" si="17"/>
        <v>0</v>
      </c>
    </row>
    <row r="35" spans="1:8" x14ac:dyDescent="0.25">
      <c r="A35" s="1">
        <v>27</v>
      </c>
      <c r="B35" s="1">
        <f t="shared" si="12"/>
        <v>2.4870507220427198</v>
      </c>
      <c r="C35" s="1">
        <f t="shared" si="0"/>
        <v>2.4870507245262465</v>
      </c>
      <c r="D35" s="1">
        <f t="shared" si="13"/>
        <v>2.4870507270097733</v>
      </c>
      <c r="E35" s="1">
        <f t="shared" si="14"/>
        <v>4.9670534352230788E-9</v>
      </c>
      <c r="F35" s="1">
        <f t="shared" si="15"/>
        <v>1E-27</v>
      </c>
      <c r="G35" s="1">
        <f t="shared" si="16"/>
        <v>90</v>
      </c>
      <c r="H35" s="1">
        <f t="shared" si="17"/>
        <v>0</v>
      </c>
    </row>
    <row r="36" spans="1:8" x14ac:dyDescent="0.25">
      <c r="A36" s="1">
        <v>28</v>
      </c>
      <c r="B36" s="1">
        <f t="shared" si="12"/>
        <v>2.4870507220427198</v>
      </c>
      <c r="C36" s="1">
        <f t="shared" si="0"/>
        <v>2.487050723284483</v>
      </c>
      <c r="D36" s="1">
        <f t="shared" si="13"/>
        <v>2.4870507245262465</v>
      </c>
      <c r="E36" s="1">
        <f t="shared" si="14"/>
        <v>2.4835267176115394E-9</v>
      </c>
      <c r="F36" s="1">
        <f t="shared" si="15"/>
        <v>1.0000000000000001E-28</v>
      </c>
      <c r="G36" s="1">
        <f t="shared" si="16"/>
        <v>93</v>
      </c>
      <c r="H36" s="1">
        <f t="shared" si="17"/>
        <v>0</v>
      </c>
    </row>
    <row r="37" spans="1:8" x14ac:dyDescent="0.25">
      <c r="A37" s="1">
        <v>29</v>
      </c>
      <c r="B37" s="1">
        <f t="shared" si="12"/>
        <v>2.4870507220427198</v>
      </c>
      <c r="C37" s="1">
        <f t="shared" si="0"/>
        <v>2.4870507226636014</v>
      </c>
      <c r="D37" s="1">
        <f t="shared" si="13"/>
        <v>2.487050723284483</v>
      </c>
      <c r="E37" s="1">
        <f t="shared" si="14"/>
        <v>1.2417631367611648E-9</v>
      </c>
      <c r="F37" s="1">
        <f t="shared" si="15"/>
        <v>1.0000000000000001E-29</v>
      </c>
      <c r="G37" s="1">
        <f t="shared" si="16"/>
        <v>96</v>
      </c>
      <c r="H37" s="1">
        <f t="shared" si="17"/>
        <v>0</v>
      </c>
    </row>
    <row r="38" spans="1:8" x14ac:dyDescent="0.25">
      <c r="A38" s="1">
        <v>30</v>
      </c>
      <c r="B38" s="1">
        <f t="shared" si="12"/>
        <v>2.4870507220427198</v>
      </c>
      <c r="C38" s="1">
        <f t="shared" si="0"/>
        <v>2.4870507223531604</v>
      </c>
      <c r="D38" s="1">
        <f t="shared" si="13"/>
        <v>2.4870507226636014</v>
      </c>
      <c r="E38" s="1">
        <f t="shared" si="14"/>
        <v>6.2088156838058239E-10</v>
      </c>
      <c r="F38" s="1">
        <f t="shared" si="15"/>
        <v>9.9999999999999991E-31</v>
      </c>
      <c r="G38" s="1">
        <f t="shared" si="16"/>
        <v>100</v>
      </c>
      <c r="H38" s="1">
        <f t="shared" si="17"/>
        <v>0</v>
      </c>
    </row>
    <row r="44" spans="1:8" x14ac:dyDescent="0.25">
      <c r="B4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2023-06-02T06:11:52Z</dcterms:modified>
</cp:coreProperties>
</file>