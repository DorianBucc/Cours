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Feuil1" sheetId="1" r:id="rId1"/>
  </sheets>
  <calcPr calcId="152511"/>
</workbook>
</file>

<file path=xl/calcChain.xml><?xml version="1.0" encoding="utf-8"?>
<calcChain xmlns="http://schemas.openxmlformats.org/spreadsheetml/2006/main">
  <c r="D20" i="1" l="1"/>
  <c r="G20" i="1"/>
  <c r="H20" i="1"/>
  <c r="D19" i="1"/>
  <c r="G19" i="1"/>
  <c r="D18" i="1"/>
  <c r="G18" i="1"/>
  <c r="D16" i="1"/>
  <c r="D15" i="1"/>
  <c r="D14" i="1"/>
  <c r="D13" i="1"/>
  <c r="D12" i="1"/>
  <c r="D11" i="1"/>
  <c r="H19" i="1" l="1"/>
  <c r="I19" i="1"/>
  <c r="I29" i="1"/>
  <c r="H29" i="1"/>
  <c r="G29" i="1"/>
  <c r="F29" i="1"/>
  <c r="E29" i="1"/>
  <c r="D29" i="1"/>
  <c r="I28" i="1" l="1"/>
  <c r="H28" i="1"/>
  <c r="G28" i="1"/>
  <c r="F28" i="1"/>
  <c r="E28" i="1"/>
  <c r="D28" i="1"/>
  <c r="E44" i="1"/>
  <c r="E43" i="1"/>
  <c r="D43" i="1"/>
  <c r="G43" i="1"/>
  <c r="H43" i="1"/>
  <c r="D42" i="1"/>
  <c r="E42" i="1"/>
  <c r="H41" i="1"/>
  <c r="I37" i="1"/>
  <c r="F40" i="1"/>
  <c r="I39" i="1"/>
  <c r="I38" i="1"/>
  <c r="G38" i="1"/>
  <c r="E37" i="1"/>
  <c r="G35" i="1"/>
  <c r="H34" i="1"/>
  <c r="I33" i="1"/>
  <c r="I45" i="1" s="1"/>
  <c r="F33" i="1"/>
  <c r="F45" i="1" s="1"/>
  <c r="D33" i="1"/>
  <c r="I30" i="1"/>
  <c r="H30" i="1"/>
  <c r="G30" i="1"/>
  <c r="F30" i="1"/>
  <c r="E30" i="1"/>
  <c r="D30" i="1"/>
  <c r="I4" i="1"/>
  <c r="H4" i="1"/>
  <c r="G4" i="1"/>
  <c r="F4" i="1"/>
  <c r="E4" i="1"/>
  <c r="D4" i="1"/>
  <c r="D5" i="1" s="1"/>
  <c r="F18" i="1"/>
  <c r="E18" i="1"/>
  <c r="I18" i="1"/>
  <c r="H18" i="1"/>
  <c r="H17" i="1"/>
  <c r="G17" i="1"/>
  <c r="H16" i="1"/>
  <c r="E15" i="1"/>
  <c r="F15" i="1"/>
  <c r="G15" i="1"/>
  <c r="G14" i="1"/>
  <c r="E12" i="1"/>
  <c r="F12" i="1"/>
  <c r="I10" i="1"/>
  <c r="H10" i="1"/>
  <c r="D10" i="1"/>
  <c r="H9" i="1"/>
  <c r="H21" i="1" s="1"/>
  <c r="E9" i="1"/>
  <c r="D9" i="1"/>
  <c r="E8" i="1"/>
  <c r="G7" i="1"/>
  <c r="F7" i="1"/>
  <c r="E7" i="1"/>
  <c r="E31" i="1" l="1"/>
  <c r="H31" i="1"/>
  <c r="D31" i="1"/>
  <c r="F31" i="1"/>
  <c r="G31" i="1"/>
  <c r="I31" i="1"/>
  <c r="H45" i="1"/>
  <c r="D45" i="1"/>
  <c r="G42" i="1"/>
  <c r="G45" i="1" s="1"/>
  <c r="H42" i="1"/>
  <c r="E41" i="1"/>
  <c r="D34" i="1"/>
  <c r="E36" i="1"/>
  <c r="E45" i="1" s="1"/>
  <c r="D46" i="1" l="1"/>
  <c r="I46" i="1"/>
  <c r="F46" i="1"/>
  <c r="G46" i="1"/>
  <c r="E46" i="1"/>
  <c r="H46" i="1"/>
  <c r="D7" i="1"/>
  <c r="I5" i="1"/>
  <c r="F5" i="1"/>
  <c r="I20" i="1"/>
  <c r="F11" i="1"/>
  <c r="F21" i="1" s="1"/>
  <c r="E14" i="1"/>
  <c r="E21" i="1" s="1"/>
  <c r="G16" i="1"/>
  <c r="I16" i="1"/>
  <c r="E5" i="1"/>
  <c r="H5" i="1"/>
  <c r="G5" i="1"/>
  <c r="I21" i="1" l="1"/>
  <c r="B46" i="1"/>
  <c r="H22" i="1"/>
  <c r="H54" i="1" s="1"/>
  <c r="D8" i="1"/>
  <c r="D17" i="1"/>
  <c r="D21" i="1" s="1"/>
  <c r="F22" i="1"/>
  <c r="F54" i="1" s="1"/>
  <c r="G13" i="1"/>
  <c r="G21" i="1" l="1"/>
  <c r="G22" i="1" s="1"/>
  <c r="G54" i="1" s="1"/>
  <c r="I22" i="1"/>
  <c r="I54" i="1" s="1"/>
  <c r="D22" i="1"/>
  <c r="D54" i="1" s="1"/>
  <c r="E22" i="1"/>
  <c r="E54" i="1" s="1"/>
  <c r="B22" i="1" l="1"/>
</calcChain>
</file>

<file path=xl/sharedStrings.xml><?xml version="1.0" encoding="utf-8"?>
<sst xmlns="http://schemas.openxmlformats.org/spreadsheetml/2006/main" count="96" uniqueCount="71">
  <si>
    <t>UE1.1</t>
  </si>
  <si>
    <t>UE1.2</t>
  </si>
  <si>
    <t>UE1.3</t>
  </si>
  <si>
    <t>UE1.4</t>
  </si>
  <si>
    <t>UE1.5</t>
  </si>
  <si>
    <t>UE1.6</t>
  </si>
  <si>
    <t>à remplir</t>
  </si>
  <si>
    <t>Note Saé :</t>
  </si>
  <si>
    <t>Moyenne</t>
  </si>
  <si>
    <t>Matière</t>
  </si>
  <si>
    <t>Moyenne Général</t>
  </si>
  <si>
    <t>SEMESTRE 1</t>
  </si>
  <si>
    <t>SEMESTRE 2</t>
  </si>
  <si>
    <t>Résultat Fin d'année</t>
  </si>
  <si>
    <t>Projet professionnel et personnel</t>
  </si>
  <si>
    <t>Qualité de développement</t>
  </si>
  <si>
    <t>Droit des contrats et du numérique</t>
  </si>
  <si>
    <t>R3.01</t>
  </si>
  <si>
    <t>R3.02</t>
  </si>
  <si>
    <t>R3.03</t>
  </si>
  <si>
    <t>R3.04</t>
  </si>
  <si>
    <t>R3.05</t>
  </si>
  <si>
    <t>R3.06</t>
  </si>
  <si>
    <t>R3.07</t>
  </si>
  <si>
    <t>R3.08</t>
  </si>
  <si>
    <t>R3.09</t>
  </si>
  <si>
    <t>R3.10</t>
  </si>
  <si>
    <t>R3.11</t>
  </si>
  <si>
    <t>R3.12</t>
  </si>
  <si>
    <t>Développement web</t>
  </si>
  <si>
    <t>Développement efficace</t>
  </si>
  <si>
    <t>Programmation système</t>
  </si>
  <si>
    <t>Architecture des réseaux</t>
  </si>
  <si>
    <t>SQL dans un langage de programmation</t>
  </si>
  <si>
    <t>Probabilités</t>
  </si>
  <si>
    <t>Cryptographie et sécurité</t>
  </si>
  <si>
    <t>Management des systèmes d'information</t>
  </si>
  <si>
    <t>Analyse</t>
  </si>
  <si>
    <t>R3.13</t>
  </si>
  <si>
    <t>R3.14</t>
  </si>
  <si>
    <t>Langues(Anglais)</t>
  </si>
  <si>
    <t>Communication professionnel</t>
  </si>
  <si>
    <t>Mathématiques</t>
  </si>
  <si>
    <t>Qualité et au-délà de relationnel</t>
  </si>
  <si>
    <t>Programmation</t>
  </si>
  <si>
    <t>R4.01</t>
  </si>
  <si>
    <t>R4.02</t>
  </si>
  <si>
    <t>R4.03</t>
  </si>
  <si>
    <t>R4.04</t>
  </si>
  <si>
    <t>R4.05</t>
  </si>
  <si>
    <t>R4.06</t>
  </si>
  <si>
    <t>R4.07</t>
  </si>
  <si>
    <t>R4.A.08</t>
  </si>
  <si>
    <t>R4.A.09</t>
  </si>
  <si>
    <t>R4.A.10</t>
  </si>
  <si>
    <t>R4.A.11</t>
  </si>
  <si>
    <t>R4.A.12</t>
  </si>
  <si>
    <t>Communication interne</t>
  </si>
  <si>
    <t>UE3.1</t>
  </si>
  <si>
    <t>UE3.2</t>
  </si>
  <si>
    <t>UE3.3</t>
  </si>
  <si>
    <t>UE3.4</t>
  </si>
  <si>
    <t>UE3.5</t>
  </si>
  <si>
    <t>UE3.6</t>
  </si>
  <si>
    <t>Stage :</t>
  </si>
  <si>
    <t>Portfolio</t>
  </si>
  <si>
    <t>Automates et Langages</t>
  </si>
  <si>
    <t>Développement pour applications mobiles</t>
  </si>
  <si>
    <t>Complément web</t>
  </si>
  <si>
    <t>Management avancé des SI</t>
  </si>
  <si>
    <t>Virtualisation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</si>
</sst>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2" fontId="0" fillId="0" borderId="15" xfId="0" applyNumberFormat="1" applyBorder="1" applyAlignment="1">
      <alignment horizontal="center" vertical="center"/>
    </xf>
    <xf numFmtId="2" fontId="0" fillId="0" borderId="16" xfId="0" applyNumberFormat="1" applyBorder="1" applyAlignment="1">
      <alignment horizontal="center" vertical="center"/>
    </xf>
    <xf numFmtId="2" fontId="0" fillId="0" borderId="17" xfId="0" applyNumberFormat="1" applyBorder="1" applyAlignment="1">
      <alignment horizontal="center" vertical="center"/>
    </xf>
    <xf numFmtId="2" fontId="0" fillId="0" borderId="13" xfId="0" applyNumberFormat="1" applyFill="1" applyBorder="1" applyAlignment="1">
      <alignment horizontal="center" vertical="center"/>
    </xf>
    <xf numFmtId="2" fontId="0" fillId="0" borderId="1" xfId="0" applyNumberFormat="1" applyFill="1" applyBorder="1" applyAlignment="1">
      <alignment horizontal="center" vertical="center"/>
    </xf>
    <xf numFmtId="2" fontId="0" fillId="0" borderId="10" xfId="0" applyNumberFormat="1" applyFill="1" applyBorder="1" applyAlignment="1">
      <alignment horizontal="center" vertical="center"/>
    </xf>
    <xf numFmtId="2" fontId="0" fillId="0" borderId="14" xfId="0" applyNumberFormat="1" applyBorder="1" applyAlignment="1">
      <alignment horizontal="center" vertical="center"/>
    </xf>
    <xf numFmtId="2" fontId="0" fillId="0" borderId="11" xfId="0" applyNumberFormat="1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2" fontId="0" fillId="0" borderId="19" xfId="0" applyNumberFormat="1" applyBorder="1" applyAlignment="1">
      <alignment horizontal="center" vertical="center"/>
    </xf>
    <xf numFmtId="2" fontId="0" fillId="0" borderId="20" xfId="0" applyNumberFormat="1" applyBorder="1" applyAlignment="1">
      <alignment horizontal="center" vertical="center"/>
    </xf>
    <xf numFmtId="2" fontId="0" fillId="0" borderId="21" xfId="0" applyNumberFormat="1" applyBorder="1" applyAlignment="1">
      <alignment horizontal="center" vertical="center"/>
    </xf>
    <xf numFmtId="0" fontId="0" fillId="5" borderId="25" xfId="0" applyFill="1" applyBorder="1" applyAlignment="1">
      <alignment vertical="center"/>
    </xf>
    <xf numFmtId="0" fontId="0" fillId="5" borderId="0" xfId="0" applyFill="1" applyAlignment="1">
      <alignment horizontal="center" vertical="center"/>
    </xf>
    <xf numFmtId="2" fontId="0" fillId="5" borderId="1" xfId="0" applyNumberFormat="1" applyFill="1" applyBorder="1" applyAlignment="1">
      <alignment horizontal="center" vertical="center"/>
    </xf>
    <xf numFmtId="2" fontId="0" fillId="0" borderId="18" xfId="0" applyNumberFormat="1" applyFill="1" applyBorder="1" applyAlignment="1">
      <alignment horizontal="center" vertical="center"/>
    </xf>
    <xf numFmtId="2" fontId="0" fillId="0" borderId="11" xfId="0" applyNumberFormat="1" applyFill="1" applyBorder="1" applyAlignment="1">
      <alignment horizontal="center" vertical="center"/>
    </xf>
    <xf numFmtId="2" fontId="0" fillId="0" borderId="12" xfId="0" applyNumberFormat="1" applyFill="1" applyBorder="1" applyAlignment="1">
      <alignment horizontal="center" vertical="center"/>
    </xf>
    <xf numFmtId="0" fontId="0" fillId="5" borderId="0" xfId="0" applyFill="1" applyAlignment="1">
      <alignment vertical="center"/>
    </xf>
    <xf numFmtId="164" fontId="0" fillId="3" borderId="6" xfId="0" applyNumberFormat="1" applyFill="1" applyBorder="1" applyAlignment="1">
      <alignment horizontal="center" vertical="center"/>
    </xf>
    <xf numFmtId="2" fontId="0" fillId="0" borderId="22" xfId="0" applyNumberFormat="1" applyBorder="1" applyAlignment="1">
      <alignment horizontal="center" vertical="center"/>
    </xf>
    <xf numFmtId="2" fontId="0" fillId="0" borderId="30" xfId="0" applyNumberFormat="1" applyBorder="1" applyAlignment="1">
      <alignment horizontal="center" vertical="center"/>
    </xf>
    <xf numFmtId="2" fontId="0" fillId="0" borderId="14" xfId="0" applyNumberForma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2" fontId="0" fillId="0" borderId="15" xfId="0" applyNumberFormat="1" applyFill="1" applyBorder="1" applyAlignment="1">
      <alignment horizontal="center" vertical="center"/>
    </xf>
    <xf numFmtId="2" fontId="0" fillId="0" borderId="16" xfId="0" applyNumberFormat="1" applyFill="1" applyBorder="1" applyAlignment="1">
      <alignment horizontal="center" vertical="center"/>
    </xf>
    <xf numFmtId="2" fontId="0" fillId="0" borderId="17" xfId="0" applyNumberForma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28" xfId="0" applyFill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5" borderId="29" xfId="0" applyFill="1" applyBorder="1" applyAlignment="1">
      <alignment horizontal="center" vertical="center"/>
    </xf>
    <xf numFmtId="0" fontId="0" fillId="5" borderId="27" xfId="0" applyFill="1" applyBorder="1" applyAlignment="1">
      <alignment horizontal="center" vertical="center"/>
    </xf>
    <xf numFmtId="0" fontId="0" fillId="5" borderId="26" xfId="0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5" borderId="25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6"/>
  <sheetViews>
    <sheetView tabSelected="1" topLeftCell="A10" zoomScale="85" zoomScaleNormal="85" workbookViewId="0">
      <selection activeCell="R38" sqref="R38"/>
    </sheetView>
  </sheetViews>
  <sheetFormatPr baseColWidth="10" defaultColWidth="9.140625" defaultRowHeight="15" x14ac:dyDescent="0.25"/>
  <cols>
    <col min="1" max="1" width="40.85546875" style="2" bestFit="1" customWidth="1"/>
    <col min="2" max="2" width="9.42578125" style="2" bestFit="1" customWidth="1"/>
    <col min="3" max="3" width="10" style="2" bestFit="1" customWidth="1"/>
    <col min="4" max="16384" width="9.140625" style="2"/>
  </cols>
  <sheetData>
    <row r="1" spans="1:19" ht="23.25" x14ac:dyDescent="0.25">
      <c r="A1" s="59" t="s">
        <v>11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3"/>
    </row>
    <row r="2" spans="1:19" ht="15.75" thickBot="1" x14ac:dyDescent="0.3">
      <c r="A2" s="53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</row>
    <row r="3" spans="1:19" ht="15.75" thickBot="1" x14ac:dyDescent="0.3">
      <c r="A3" s="53"/>
      <c r="B3" s="53"/>
      <c r="C3" s="1" t="s">
        <v>7</v>
      </c>
      <c r="D3" s="3" t="s">
        <v>58</v>
      </c>
      <c r="E3" s="4" t="s">
        <v>59</v>
      </c>
      <c r="F3" s="4" t="s">
        <v>60</v>
      </c>
      <c r="G3" s="4" t="s">
        <v>61</v>
      </c>
      <c r="H3" s="4" t="s">
        <v>62</v>
      </c>
      <c r="I3" s="5" t="s">
        <v>63</v>
      </c>
      <c r="J3" s="53"/>
      <c r="K3" s="3" t="s">
        <v>58</v>
      </c>
      <c r="L3" s="4" t="s">
        <v>59</v>
      </c>
      <c r="M3" s="4" t="s">
        <v>60</v>
      </c>
      <c r="N3" s="4" t="s">
        <v>61</v>
      </c>
      <c r="O3" s="4" t="s">
        <v>62</v>
      </c>
      <c r="P3" s="5" t="s">
        <v>63</v>
      </c>
      <c r="Q3" s="53"/>
    </row>
    <row r="4" spans="1:19" x14ac:dyDescent="0.25">
      <c r="A4" s="53"/>
      <c r="B4" s="53"/>
      <c r="C4" s="32">
        <v>10</v>
      </c>
      <c r="D4" s="39">
        <f>C4</f>
        <v>10</v>
      </c>
      <c r="E4" s="40">
        <f>C4</f>
        <v>10</v>
      </c>
      <c r="F4" s="40">
        <f>C4</f>
        <v>10</v>
      </c>
      <c r="G4" s="40">
        <f>C4</f>
        <v>10</v>
      </c>
      <c r="H4" s="40">
        <f>C4</f>
        <v>10</v>
      </c>
      <c r="I4" s="41">
        <f>C4</f>
        <v>10</v>
      </c>
      <c r="J4" s="53"/>
      <c r="K4" s="12"/>
      <c r="L4" s="13"/>
      <c r="M4" s="13"/>
      <c r="N4" s="13"/>
      <c r="O4" s="13"/>
      <c r="P4" s="14"/>
      <c r="Q4" s="53"/>
      <c r="S4" s="31" t="s">
        <v>6</v>
      </c>
    </row>
    <row r="5" spans="1:19" ht="15.75" thickBot="1" x14ac:dyDescent="0.3">
      <c r="A5" s="60"/>
      <c r="B5" s="60"/>
      <c r="C5" s="37"/>
      <c r="D5" s="20">
        <f>(D4*K5)/K5</f>
        <v>10</v>
      </c>
      <c r="E5" s="21">
        <f t="shared" ref="E5:I5" si="0">(E4*L5)/L5</f>
        <v>10</v>
      </c>
      <c r="F5" s="21">
        <f t="shared" si="0"/>
        <v>10</v>
      </c>
      <c r="G5" s="21">
        <f t="shared" si="0"/>
        <v>10</v>
      </c>
      <c r="H5" s="21">
        <f t="shared" si="0"/>
        <v>10</v>
      </c>
      <c r="I5" s="22">
        <f t="shared" si="0"/>
        <v>10</v>
      </c>
      <c r="J5" s="53"/>
      <c r="K5" s="17">
        <v>40</v>
      </c>
      <c r="L5" s="18">
        <v>40</v>
      </c>
      <c r="M5" s="18">
        <v>40</v>
      </c>
      <c r="N5" s="18">
        <v>40</v>
      </c>
      <c r="O5" s="18">
        <v>40</v>
      </c>
      <c r="P5" s="19">
        <v>40</v>
      </c>
      <c r="Q5" s="53"/>
    </row>
    <row r="6" spans="1:19" ht="14.25" customHeight="1" thickBot="1" x14ac:dyDescent="0.3">
      <c r="A6" s="1" t="s">
        <v>9</v>
      </c>
      <c r="B6" s="1" t="s">
        <v>8</v>
      </c>
      <c r="C6" s="57"/>
      <c r="D6" s="53"/>
      <c r="E6" s="53"/>
      <c r="F6" s="53"/>
      <c r="G6" s="53"/>
      <c r="H6" s="53"/>
      <c r="I6" s="53"/>
      <c r="J6" s="53"/>
      <c r="K6" s="58"/>
      <c r="L6" s="58"/>
      <c r="M6" s="58"/>
      <c r="N6" s="58"/>
      <c r="O6" s="58"/>
      <c r="P6" s="58"/>
      <c r="Q6" s="53"/>
    </row>
    <row r="7" spans="1:19" x14ac:dyDescent="0.25">
      <c r="A7" s="1" t="s">
        <v>29</v>
      </c>
      <c r="B7" s="32">
        <v>12</v>
      </c>
      <c r="C7" s="8" t="s">
        <v>17</v>
      </c>
      <c r="D7" s="25">
        <f t="shared" ref="D7:D20" si="1">B7</f>
        <v>12</v>
      </c>
      <c r="E7" s="27">
        <f>B7</f>
        <v>12</v>
      </c>
      <c r="F7" s="27">
        <f>B7</f>
        <v>12</v>
      </c>
      <c r="G7" s="27">
        <f>B7</f>
        <v>12</v>
      </c>
      <c r="H7" s="27"/>
      <c r="I7" s="28"/>
      <c r="J7" s="53"/>
      <c r="K7" s="12">
        <v>15</v>
      </c>
      <c r="L7" s="13">
        <v>5</v>
      </c>
      <c r="M7" s="13">
        <v>5</v>
      </c>
      <c r="N7" s="13">
        <v>10</v>
      </c>
      <c r="O7" s="13"/>
      <c r="P7" s="14"/>
      <c r="Q7" s="53"/>
    </row>
    <row r="8" spans="1:19" x14ac:dyDescent="0.25">
      <c r="A8" s="1" t="s">
        <v>30</v>
      </c>
      <c r="B8" s="32">
        <v>12</v>
      </c>
      <c r="C8" s="8" t="s">
        <v>18</v>
      </c>
      <c r="D8" s="23">
        <f t="shared" si="1"/>
        <v>12</v>
      </c>
      <c r="E8" s="6">
        <f>B8</f>
        <v>12</v>
      </c>
      <c r="F8" s="6"/>
      <c r="G8" s="6"/>
      <c r="H8" s="6"/>
      <c r="I8" s="26"/>
      <c r="J8" s="53"/>
      <c r="K8" s="15">
        <v>10</v>
      </c>
      <c r="L8" s="1">
        <v>13</v>
      </c>
      <c r="M8" s="1"/>
      <c r="N8" s="1"/>
      <c r="O8" s="1"/>
      <c r="P8" s="16"/>
      <c r="Q8" s="53"/>
    </row>
    <row r="9" spans="1:19" x14ac:dyDescent="0.25">
      <c r="A9" s="1" t="s">
        <v>37</v>
      </c>
      <c r="B9" s="32">
        <v>10</v>
      </c>
      <c r="C9" s="8" t="s">
        <v>19</v>
      </c>
      <c r="D9" s="23">
        <f t="shared" si="1"/>
        <v>10</v>
      </c>
      <c r="E9" s="6">
        <f>B9</f>
        <v>10</v>
      </c>
      <c r="F9" s="6"/>
      <c r="G9" s="6"/>
      <c r="H9" s="6">
        <f>B9</f>
        <v>10</v>
      </c>
      <c r="I9" s="26"/>
      <c r="J9" s="53"/>
      <c r="K9" s="15">
        <v>12</v>
      </c>
      <c r="L9" s="1">
        <v>5</v>
      </c>
      <c r="M9" s="1"/>
      <c r="N9" s="1"/>
      <c r="O9" s="1">
        <v>10</v>
      </c>
      <c r="P9" s="16"/>
      <c r="Q9" s="53"/>
    </row>
    <row r="10" spans="1:19" x14ac:dyDescent="0.25">
      <c r="A10" s="1" t="s">
        <v>15</v>
      </c>
      <c r="B10" s="32">
        <v>10</v>
      </c>
      <c r="C10" s="8" t="s">
        <v>20</v>
      </c>
      <c r="D10" s="29">
        <f t="shared" si="1"/>
        <v>10</v>
      </c>
      <c r="E10" s="6"/>
      <c r="F10" s="6"/>
      <c r="G10" s="6"/>
      <c r="H10" s="6">
        <f>B10</f>
        <v>10</v>
      </c>
      <c r="I10" s="26">
        <f>B10</f>
        <v>10</v>
      </c>
      <c r="J10" s="53"/>
      <c r="K10" s="15">
        <v>15</v>
      </c>
      <c r="L10" s="1"/>
      <c r="M10" s="1"/>
      <c r="N10" s="1"/>
      <c r="O10" s="1">
        <v>8</v>
      </c>
      <c r="P10" s="16">
        <v>5</v>
      </c>
      <c r="Q10" s="53"/>
    </row>
    <row r="11" spans="1:19" x14ac:dyDescent="0.25">
      <c r="A11" s="1" t="s">
        <v>31</v>
      </c>
      <c r="B11" s="32">
        <v>12</v>
      </c>
      <c r="C11" s="8" t="s">
        <v>21</v>
      </c>
      <c r="D11" s="29">
        <f t="shared" si="1"/>
        <v>12</v>
      </c>
      <c r="E11" s="6"/>
      <c r="F11" s="6">
        <f>B11</f>
        <v>12</v>
      </c>
      <c r="G11" s="6"/>
      <c r="H11" s="6"/>
      <c r="I11" s="26"/>
      <c r="J11" s="53"/>
      <c r="K11" s="15"/>
      <c r="L11" s="1"/>
      <c r="M11" s="1">
        <v>22</v>
      </c>
      <c r="N11" s="1"/>
      <c r="O11" s="1"/>
      <c r="P11" s="16"/>
      <c r="Q11" s="53"/>
    </row>
    <row r="12" spans="1:19" x14ac:dyDescent="0.25">
      <c r="A12" s="1" t="s">
        <v>32</v>
      </c>
      <c r="B12" s="32">
        <v>13</v>
      </c>
      <c r="C12" s="8" t="s">
        <v>22</v>
      </c>
      <c r="D12" s="29">
        <f t="shared" si="1"/>
        <v>13</v>
      </c>
      <c r="E12" s="38">
        <f>B12</f>
        <v>13</v>
      </c>
      <c r="F12" s="6">
        <f>B12</f>
        <v>13</v>
      </c>
      <c r="G12" s="6"/>
      <c r="H12" s="6"/>
      <c r="I12" s="26"/>
      <c r="J12" s="53"/>
      <c r="K12" s="15"/>
      <c r="L12" s="1">
        <v>5</v>
      </c>
      <c r="M12" s="1">
        <v>18</v>
      </c>
      <c r="N12" s="1"/>
      <c r="O12" s="1"/>
      <c r="P12" s="16"/>
      <c r="Q12" s="53"/>
    </row>
    <row r="13" spans="1:19" x14ac:dyDescent="0.25">
      <c r="A13" s="1" t="s">
        <v>33</v>
      </c>
      <c r="B13" s="32">
        <v>10</v>
      </c>
      <c r="C13" s="8" t="s">
        <v>23</v>
      </c>
      <c r="D13" s="29">
        <f t="shared" si="1"/>
        <v>10</v>
      </c>
      <c r="E13" s="6"/>
      <c r="F13" s="6"/>
      <c r="G13" s="6">
        <f t="shared" ref="G13:G20" si="2">B13</f>
        <v>10</v>
      </c>
      <c r="H13" s="6"/>
      <c r="I13" s="26"/>
      <c r="J13" s="53"/>
      <c r="K13" s="15"/>
      <c r="L13" s="1"/>
      <c r="M13" s="1"/>
      <c r="N13" s="1">
        <v>25</v>
      </c>
      <c r="O13" s="1"/>
      <c r="P13" s="16"/>
      <c r="Q13" s="53"/>
    </row>
    <row r="14" spans="1:19" x14ac:dyDescent="0.25">
      <c r="A14" s="1" t="s">
        <v>34</v>
      </c>
      <c r="B14" s="32">
        <v>11.5</v>
      </c>
      <c r="C14" s="8" t="s">
        <v>24</v>
      </c>
      <c r="D14" s="29">
        <f t="shared" si="1"/>
        <v>11.5</v>
      </c>
      <c r="E14" s="6">
        <f>B14</f>
        <v>11.5</v>
      </c>
      <c r="F14" s="6"/>
      <c r="G14" s="6">
        <f t="shared" si="2"/>
        <v>11.5</v>
      </c>
      <c r="H14" s="6"/>
      <c r="I14" s="26"/>
      <c r="J14" s="53"/>
      <c r="K14" s="15"/>
      <c r="L14" s="1">
        <v>17</v>
      </c>
      <c r="M14" s="1"/>
      <c r="N14" s="1">
        <v>5</v>
      </c>
      <c r="O14" s="1"/>
      <c r="P14" s="16"/>
      <c r="Q14" s="53"/>
    </row>
    <row r="15" spans="1:19" x14ac:dyDescent="0.25">
      <c r="A15" s="1" t="s">
        <v>35</v>
      </c>
      <c r="B15" s="32">
        <v>5.5</v>
      </c>
      <c r="C15" s="8" t="s">
        <v>25</v>
      </c>
      <c r="D15" s="29">
        <f t="shared" si="1"/>
        <v>5.5</v>
      </c>
      <c r="E15" s="6">
        <f>B15</f>
        <v>5.5</v>
      </c>
      <c r="F15" s="6">
        <f>B15</f>
        <v>5.5</v>
      </c>
      <c r="G15" s="6">
        <f t="shared" si="2"/>
        <v>5.5</v>
      </c>
      <c r="H15" s="6"/>
      <c r="I15" s="26"/>
      <c r="J15" s="53"/>
      <c r="K15" s="15"/>
      <c r="L15" s="1">
        <v>10</v>
      </c>
      <c r="M15" s="1">
        <v>10</v>
      </c>
      <c r="N15" s="1">
        <v>5</v>
      </c>
      <c r="O15" s="1"/>
      <c r="P15" s="16"/>
      <c r="Q15" s="53"/>
    </row>
    <row r="16" spans="1:19" x14ac:dyDescent="0.25">
      <c r="A16" s="1" t="s">
        <v>36</v>
      </c>
      <c r="B16" s="32">
        <v>10</v>
      </c>
      <c r="C16" s="8" t="s">
        <v>26</v>
      </c>
      <c r="D16" s="29">
        <f t="shared" si="1"/>
        <v>10</v>
      </c>
      <c r="E16" s="6"/>
      <c r="F16" s="6"/>
      <c r="G16" s="6">
        <f t="shared" si="2"/>
        <v>10</v>
      </c>
      <c r="H16" s="6">
        <f>B16</f>
        <v>10</v>
      </c>
      <c r="I16" s="26">
        <f>B16</f>
        <v>10</v>
      </c>
      <c r="J16" s="53"/>
      <c r="K16" s="15"/>
      <c r="L16" s="1"/>
      <c r="M16" s="1"/>
      <c r="N16" s="1">
        <v>10</v>
      </c>
      <c r="O16" s="1">
        <v>18</v>
      </c>
      <c r="P16" s="16">
        <v>16</v>
      </c>
      <c r="Q16" s="53"/>
    </row>
    <row r="17" spans="1:17" x14ac:dyDescent="0.25">
      <c r="A17" s="1" t="s">
        <v>16</v>
      </c>
      <c r="B17" s="32">
        <v>10</v>
      </c>
      <c r="C17" s="8" t="s">
        <v>27</v>
      </c>
      <c r="D17" s="23">
        <f t="shared" si="1"/>
        <v>10</v>
      </c>
      <c r="E17" s="6"/>
      <c r="F17" s="24"/>
      <c r="G17" s="6">
        <f t="shared" si="2"/>
        <v>10</v>
      </c>
      <c r="H17" s="6">
        <f>B17</f>
        <v>10</v>
      </c>
      <c r="I17" s="26"/>
      <c r="J17" s="53"/>
      <c r="K17" s="15">
        <v>8</v>
      </c>
      <c r="L17" s="1"/>
      <c r="M17" s="1"/>
      <c r="N17" s="1">
        <v>5</v>
      </c>
      <c r="O17" s="1">
        <v>10</v>
      </c>
      <c r="P17" s="16"/>
      <c r="Q17" s="53"/>
    </row>
    <row r="18" spans="1:17" x14ac:dyDescent="0.25">
      <c r="A18" s="1" t="s">
        <v>40</v>
      </c>
      <c r="B18" s="32">
        <v>5</v>
      </c>
      <c r="C18" s="8" t="s">
        <v>28</v>
      </c>
      <c r="D18" s="23">
        <f t="shared" si="1"/>
        <v>5</v>
      </c>
      <c r="E18" s="6">
        <f>B18</f>
        <v>5</v>
      </c>
      <c r="F18" s="24">
        <f>B18</f>
        <v>5</v>
      </c>
      <c r="G18" s="6">
        <f t="shared" si="2"/>
        <v>5</v>
      </c>
      <c r="H18" s="6">
        <f>B18</f>
        <v>5</v>
      </c>
      <c r="I18" s="26">
        <f>B18</f>
        <v>5</v>
      </c>
      <c r="J18" s="53"/>
      <c r="K18" s="15"/>
      <c r="L18" s="1">
        <v>5</v>
      </c>
      <c r="M18" s="1">
        <v>5</v>
      </c>
      <c r="N18" s="1"/>
      <c r="O18" s="1">
        <v>7</v>
      </c>
      <c r="P18" s="16">
        <v>8</v>
      </c>
      <c r="Q18" s="53"/>
    </row>
    <row r="19" spans="1:17" x14ac:dyDescent="0.25">
      <c r="A19" s="1" t="s">
        <v>41</v>
      </c>
      <c r="B19" s="32">
        <v>10</v>
      </c>
      <c r="C19" s="8" t="s">
        <v>38</v>
      </c>
      <c r="D19" s="29">
        <f t="shared" si="1"/>
        <v>10</v>
      </c>
      <c r="E19" s="6"/>
      <c r="F19" s="6"/>
      <c r="G19" s="6">
        <f t="shared" si="2"/>
        <v>10</v>
      </c>
      <c r="H19" s="6">
        <f>B19</f>
        <v>10</v>
      </c>
      <c r="I19" s="26">
        <f>B19</f>
        <v>10</v>
      </c>
      <c r="J19" s="53"/>
      <c r="K19" s="15"/>
      <c r="L19" s="1"/>
      <c r="M19" s="1"/>
      <c r="N19" s="1"/>
      <c r="O19" s="1">
        <v>7</v>
      </c>
      <c r="P19" s="16">
        <v>16</v>
      </c>
      <c r="Q19" s="53"/>
    </row>
    <row r="20" spans="1:17" ht="15.75" thickBot="1" x14ac:dyDescent="0.3">
      <c r="A20" s="1" t="s">
        <v>14</v>
      </c>
      <c r="B20" s="32">
        <v>10</v>
      </c>
      <c r="C20" s="8" t="s">
        <v>39</v>
      </c>
      <c r="D20" s="33">
        <f t="shared" si="1"/>
        <v>10</v>
      </c>
      <c r="E20" s="34"/>
      <c r="F20" s="34"/>
      <c r="G20" s="34">
        <f t="shared" si="2"/>
        <v>10</v>
      </c>
      <c r="H20" s="34">
        <f>B20</f>
        <v>10</v>
      </c>
      <c r="I20" s="35">
        <f>B20</f>
        <v>10</v>
      </c>
      <c r="J20" s="53"/>
      <c r="K20" s="15"/>
      <c r="L20" s="1"/>
      <c r="M20" s="1"/>
      <c r="N20" s="1"/>
      <c r="O20" s="1"/>
      <c r="P20" s="16">
        <v>15</v>
      </c>
      <c r="Q20" s="53"/>
    </row>
    <row r="21" spans="1:17" ht="15.75" thickBot="1" x14ac:dyDescent="0.3">
      <c r="A21" s="54"/>
      <c r="B21" s="54"/>
      <c r="C21" s="56"/>
      <c r="D21" s="30">
        <f t="shared" ref="D21:I21" si="3">((K7*D7)+(K8*D8)+(K9*D9)+(K10*D10)+(D11*K11)+(K12*D12)+(K13*D13)+(K14*D14)+(K15*D15)+(K16*D16)+(K17*D17)+(K18*D18)+(K19*D19)+(K20*D20))/K21</f>
        <v>10.833333333333334</v>
      </c>
      <c r="E21" s="30">
        <f t="shared" si="3"/>
        <v>10.108333333333333</v>
      </c>
      <c r="F21" s="30">
        <f t="shared" si="3"/>
        <v>10.633333333333333</v>
      </c>
      <c r="G21" s="30">
        <f t="shared" si="3"/>
        <v>10.083333333333334</v>
      </c>
      <c r="H21" s="30">
        <f t="shared" si="3"/>
        <v>9.4166666666666661</v>
      </c>
      <c r="I21" s="30">
        <f t="shared" si="3"/>
        <v>9.3333333333333339</v>
      </c>
      <c r="J21" s="53"/>
      <c r="K21" s="17">
        <v>60</v>
      </c>
      <c r="L21" s="18">
        <v>60</v>
      </c>
      <c r="M21" s="18">
        <v>60</v>
      </c>
      <c r="N21" s="18">
        <v>60</v>
      </c>
      <c r="O21" s="18">
        <v>60</v>
      </c>
      <c r="P21" s="19">
        <v>60</v>
      </c>
      <c r="Q21" s="53"/>
    </row>
    <row r="22" spans="1:17" ht="15.75" thickBot="1" x14ac:dyDescent="0.3">
      <c r="A22" s="1" t="s">
        <v>10</v>
      </c>
      <c r="B22" s="6">
        <f>SUM(D22:I22)/6</f>
        <v>10.040833333333333</v>
      </c>
      <c r="C22" s="37"/>
      <c r="D22" s="7">
        <f t="shared" ref="D22:I22" si="4">((D21*K21)+(D5*K5))/K22</f>
        <v>10.5</v>
      </c>
      <c r="E22" s="7">
        <f t="shared" si="4"/>
        <v>10.065</v>
      </c>
      <c r="F22" s="7">
        <f t="shared" si="4"/>
        <v>10.38</v>
      </c>
      <c r="G22" s="7">
        <f t="shared" si="4"/>
        <v>10.050000000000001</v>
      </c>
      <c r="H22" s="7">
        <f t="shared" si="4"/>
        <v>9.65</v>
      </c>
      <c r="I22" s="30">
        <f t="shared" si="4"/>
        <v>9.6</v>
      </c>
      <c r="J22" s="53"/>
      <c r="K22" s="3">
        <v>100</v>
      </c>
      <c r="L22" s="4">
        <v>100</v>
      </c>
      <c r="M22" s="4">
        <v>100</v>
      </c>
      <c r="N22" s="4">
        <v>100</v>
      </c>
      <c r="O22" s="4">
        <v>100</v>
      </c>
      <c r="P22" s="5">
        <v>100</v>
      </c>
      <c r="Q22" s="53"/>
    </row>
    <row r="23" spans="1:17" x14ac:dyDescent="0.25">
      <c r="A23" s="53"/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</row>
    <row r="24" spans="1:17" x14ac:dyDescent="0.25">
      <c r="A24" s="53"/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</row>
    <row r="25" spans="1:17" ht="23.25" x14ac:dyDescent="0.25">
      <c r="A25" s="59" t="s">
        <v>12</v>
      </c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3"/>
    </row>
    <row r="26" spans="1:17" ht="15.75" thickBot="1" x14ac:dyDescent="0.3">
      <c r="A26" s="42"/>
      <c r="B26" s="42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</row>
    <row r="27" spans="1:17" ht="15.75" thickBot="1" x14ac:dyDescent="0.3">
      <c r="A27" s="42"/>
      <c r="B27" s="42"/>
      <c r="D27" s="9" t="s">
        <v>0</v>
      </c>
      <c r="E27" s="10" t="s">
        <v>1</v>
      </c>
      <c r="F27" s="10" t="s">
        <v>2</v>
      </c>
      <c r="G27" s="10" t="s">
        <v>3</v>
      </c>
      <c r="H27" s="10" t="s">
        <v>4</v>
      </c>
      <c r="I27" s="11" t="s">
        <v>5</v>
      </c>
      <c r="J27" s="53"/>
      <c r="K27" s="9" t="s">
        <v>0</v>
      </c>
      <c r="L27" s="10" t="s">
        <v>1</v>
      </c>
      <c r="M27" s="10" t="s">
        <v>2</v>
      </c>
      <c r="N27" s="10" t="s">
        <v>3</v>
      </c>
      <c r="O27" s="10" t="s">
        <v>4</v>
      </c>
      <c r="P27" s="11" t="s">
        <v>5</v>
      </c>
      <c r="Q27" s="53"/>
    </row>
    <row r="28" spans="1:17" x14ac:dyDescent="0.25">
      <c r="A28" s="42"/>
      <c r="B28" s="1" t="s">
        <v>7</v>
      </c>
      <c r="C28" s="43">
        <v>10</v>
      </c>
      <c r="D28" s="25">
        <f>C28</f>
        <v>10</v>
      </c>
      <c r="E28" s="40">
        <f>C28</f>
        <v>10</v>
      </c>
      <c r="F28" s="40">
        <f>C28</f>
        <v>10</v>
      </c>
      <c r="G28" s="40">
        <f>C28</f>
        <v>10</v>
      </c>
      <c r="H28" s="40">
        <f>C28</f>
        <v>10</v>
      </c>
      <c r="I28" s="41">
        <f>C28</f>
        <v>10</v>
      </c>
      <c r="J28" s="53"/>
      <c r="K28" s="12">
        <v>15</v>
      </c>
      <c r="L28" s="13">
        <v>15</v>
      </c>
      <c r="M28" s="13">
        <v>15</v>
      </c>
      <c r="N28" s="13">
        <v>15</v>
      </c>
      <c r="O28" s="13">
        <v>15</v>
      </c>
      <c r="P28" s="14">
        <v>15</v>
      </c>
      <c r="Q28" s="53"/>
    </row>
    <row r="29" spans="1:17" x14ac:dyDescent="0.25">
      <c r="A29" s="42"/>
      <c r="B29" s="1" t="s">
        <v>65</v>
      </c>
      <c r="C29" s="43">
        <v>10</v>
      </c>
      <c r="D29" s="23">
        <f>C29</f>
        <v>10</v>
      </c>
      <c r="E29" s="24">
        <f>C29</f>
        <v>10</v>
      </c>
      <c r="F29" s="24">
        <f>C29</f>
        <v>10</v>
      </c>
      <c r="G29" s="24">
        <f>C29</f>
        <v>10</v>
      </c>
      <c r="H29" s="24">
        <f>C29</f>
        <v>10</v>
      </c>
      <c r="I29" s="46">
        <f>C29</f>
        <v>10</v>
      </c>
      <c r="J29" s="53"/>
      <c r="K29" s="15">
        <v>5</v>
      </c>
      <c r="L29" s="1">
        <v>5</v>
      </c>
      <c r="M29" s="1">
        <v>5</v>
      </c>
      <c r="N29" s="1">
        <v>5</v>
      </c>
      <c r="O29" s="1">
        <v>5</v>
      </c>
      <c r="P29" s="16">
        <v>5</v>
      </c>
      <c r="Q29" s="53"/>
    </row>
    <row r="30" spans="1:17" ht="15.75" thickBot="1" x14ac:dyDescent="0.3">
      <c r="A30" s="42"/>
      <c r="B30" s="1" t="s">
        <v>64</v>
      </c>
      <c r="C30" s="43">
        <v>10</v>
      </c>
      <c r="D30" s="50">
        <f>C30</f>
        <v>10</v>
      </c>
      <c r="E30" s="51">
        <f>C30</f>
        <v>10</v>
      </c>
      <c r="F30" s="51">
        <f>C30</f>
        <v>10</v>
      </c>
      <c r="G30" s="51">
        <f>C30</f>
        <v>10</v>
      </c>
      <c r="H30" s="51">
        <f>C30</f>
        <v>10</v>
      </c>
      <c r="I30" s="52">
        <f>C30</f>
        <v>10</v>
      </c>
      <c r="J30" s="53"/>
      <c r="K30" s="17">
        <v>40</v>
      </c>
      <c r="L30" s="18">
        <v>40</v>
      </c>
      <c r="M30" s="18">
        <v>40</v>
      </c>
      <c r="N30" s="18">
        <v>40</v>
      </c>
      <c r="O30" s="18">
        <v>40</v>
      </c>
      <c r="P30" s="19">
        <v>40</v>
      </c>
      <c r="Q30" s="53"/>
    </row>
    <row r="31" spans="1:17" ht="15.75" thickBot="1" x14ac:dyDescent="0.3">
      <c r="A31" s="36"/>
      <c r="B31" s="36"/>
      <c r="C31" s="37"/>
      <c r="D31" s="44">
        <f>(D28*K28+D29*K29+D30*K30)/K31</f>
        <v>10</v>
      </c>
      <c r="E31" s="44">
        <f>(E28*L28+E29*L29+E30*L30)/L31</f>
        <v>10</v>
      </c>
      <c r="F31" s="44">
        <f>(F28*M28+F29*M29+F30*M30)/M31</f>
        <v>10</v>
      </c>
      <c r="G31" s="44">
        <f t="shared" ref="G31:I31" si="5">(G28*N28+G29*N29+G30*N30)/N31</f>
        <v>10</v>
      </c>
      <c r="H31" s="44">
        <f t="shared" si="5"/>
        <v>10</v>
      </c>
      <c r="I31" s="44">
        <f t="shared" si="5"/>
        <v>10</v>
      </c>
      <c r="J31" s="53"/>
      <c r="K31" s="47">
        <v>60</v>
      </c>
      <c r="L31" s="48">
        <v>60</v>
      </c>
      <c r="M31" s="48">
        <v>60</v>
      </c>
      <c r="N31" s="48">
        <v>60</v>
      </c>
      <c r="O31" s="48">
        <v>60</v>
      </c>
      <c r="P31" s="49">
        <v>60</v>
      </c>
      <c r="Q31" s="53"/>
    </row>
    <row r="32" spans="1:17" ht="15.75" thickBot="1" x14ac:dyDescent="0.3">
      <c r="A32" s="1" t="s">
        <v>9</v>
      </c>
      <c r="B32" s="1" t="s">
        <v>8</v>
      </c>
      <c r="C32" s="57"/>
      <c r="D32" s="53"/>
      <c r="E32" s="53"/>
      <c r="F32" s="53"/>
      <c r="G32" s="53"/>
      <c r="H32" s="53"/>
      <c r="I32" s="53"/>
      <c r="J32" s="53"/>
      <c r="K32" s="58"/>
      <c r="L32" s="58"/>
      <c r="M32" s="58"/>
      <c r="N32" s="58"/>
      <c r="O32" s="58"/>
      <c r="P32" s="58"/>
      <c r="Q32" s="53"/>
    </row>
    <row r="33" spans="1:17" x14ac:dyDescent="0.25">
      <c r="A33" s="1" t="s">
        <v>44</v>
      </c>
      <c r="B33" s="32">
        <v>10</v>
      </c>
      <c r="C33" s="8" t="s">
        <v>45</v>
      </c>
      <c r="D33" s="25">
        <f>$B33</f>
        <v>10</v>
      </c>
      <c r="E33" s="27"/>
      <c r="F33" s="27">
        <f>$B33</f>
        <v>10</v>
      </c>
      <c r="G33" s="27"/>
      <c r="H33" s="27"/>
      <c r="I33" s="28">
        <f>$B33</f>
        <v>10</v>
      </c>
      <c r="J33" s="53"/>
      <c r="K33" s="12">
        <v>16</v>
      </c>
      <c r="L33" s="13"/>
      <c r="M33" s="13">
        <v>12</v>
      </c>
      <c r="N33" s="13"/>
      <c r="O33" s="13"/>
      <c r="P33" s="14">
        <v>4</v>
      </c>
      <c r="Q33" s="53"/>
    </row>
    <row r="34" spans="1:17" x14ac:dyDescent="0.25">
      <c r="A34" s="1" t="s">
        <v>15</v>
      </c>
      <c r="B34" s="32">
        <v>10</v>
      </c>
      <c r="C34" s="8" t="s">
        <v>46</v>
      </c>
      <c r="D34" s="23">
        <f>$B34</f>
        <v>10</v>
      </c>
      <c r="E34" s="6"/>
      <c r="F34" s="6"/>
      <c r="G34" s="6"/>
      <c r="H34" s="6">
        <f>$B34</f>
        <v>10</v>
      </c>
      <c r="I34" s="26"/>
      <c r="J34" s="53"/>
      <c r="K34" s="15">
        <v>8</v>
      </c>
      <c r="L34" s="1"/>
      <c r="M34" s="1"/>
      <c r="N34" s="1"/>
      <c r="O34" s="1">
        <v>10</v>
      </c>
      <c r="P34" s="16"/>
      <c r="Q34" s="53"/>
    </row>
    <row r="35" spans="1:17" x14ac:dyDescent="0.25">
      <c r="A35" s="1" t="s">
        <v>43</v>
      </c>
      <c r="B35" s="32">
        <v>10</v>
      </c>
      <c r="C35" s="8" t="s">
        <v>47</v>
      </c>
      <c r="D35" s="29"/>
      <c r="E35" s="6"/>
      <c r="F35" s="6"/>
      <c r="G35" s="6">
        <f>$B35</f>
        <v>10</v>
      </c>
      <c r="H35" s="6"/>
      <c r="I35" s="26"/>
      <c r="J35" s="53"/>
      <c r="K35" s="15"/>
      <c r="L35" s="1"/>
      <c r="M35" s="1"/>
      <c r="N35" s="1">
        <v>18</v>
      </c>
      <c r="O35" s="1"/>
      <c r="P35" s="16"/>
      <c r="Q35" s="53"/>
    </row>
    <row r="36" spans="1:17" x14ac:dyDescent="0.25">
      <c r="A36" s="1" t="s">
        <v>42</v>
      </c>
      <c r="B36" s="32">
        <v>10</v>
      </c>
      <c r="C36" s="8" t="s">
        <v>48</v>
      </c>
      <c r="D36" s="29"/>
      <c r="E36" s="6">
        <f>B36</f>
        <v>10</v>
      </c>
      <c r="F36" s="6"/>
      <c r="G36" s="6"/>
      <c r="H36" s="6"/>
      <c r="I36" s="26"/>
      <c r="J36" s="53"/>
      <c r="K36" s="15"/>
      <c r="L36" s="1">
        <v>12</v>
      </c>
      <c r="M36" s="1"/>
      <c r="N36" s="1"/>
      <c r="O36" s="1"/>
      <c r="P36" s="16"/>
      <c r="Q36" s="53"/>
    </row>
    <row r="37" spans="1:17" x14ac:dyDescent="0.25">
      <c r="A37" s="1" t="s">
        <v>40</v>
      </c>
      <c r="B37" s="32">
        <v>10</v>
      </c>
      <c r="C37" s="8" t="s">
        <v>49</v>
      </c>
      <c r="D37" s="29"/>
      <c r="E37" s="6">
        <f>$B37</f>
        <v>10</v>
      </c>
      <c r="F37" s="6"/>
      <c r="G37" s="6"/>
      <c r="H37" s="6"/>
      <c r="I37" s="26">
        <f>$B37</f>
        <v>10</v>
      </c>
      <c r="J37" s="53"/>
      <c r="K37" s="15"/>
      <c r="L37" s="1">
        <v>4</v>
      </c>
      <c r="M37" s="1"/>
      <c r="N37" s="1"/>
      <c r="O37" s="1"/>
      <c r="P37" s="16">
        <v>13</v>
      </c>
      <c r="Q37" s="53"/>
    </row>
    <row r="38" spans="1:17" x14ac:dyDescent="0.25">
      <c r="A38" s="1" t="s">
        <v>57</v>
      </c>
      <c r="B38" s="32">
        <v>10</v>
      </c>
      <c r="C38" s="8" t="s">
        <v>50</v>
      </c>
      <c r="D38" s="29"/>
      <c r="E38" s="6"/>
      <c r="F38" s="6"/>
      <c r="G38" s="6">
        <f>B38</f>
        <v>10</v>
      </c>
      <c r="H38" s="6"/>
      <c r="I38" s="26">
        <f>B38</f>
        <v>10</v>
      </c>
      <c r="J38" s="53"/>
      <c r="K38" s="15"/>
      <c r="L38" s="1"/>
      <c r="M38" s="1"/>
      <c r="N38" s="1">
        <v>6</v>
      </c>
      <c r="O38" s="1"/>
      <c r="P38" s="16">
        <v>13</v>
      </c>
      <c r="Q38" s="53"/>
    </row>
    <row r="39" spans="1:17" x14ac:dyDescent="0.25">
      <c r="A39" s="1" t="s">
        <v>14</v>
      </c>
      <c r="B39" s="32">
        <v>10</v>
      </c>
      <c r="C39" s="8" t="s">
        <v>51</v>
      </c>
      <c r="D39" s="29"/>
      <c r="E39" s="6"/>
      <c r="F39" s="6"/>
      <c r="G39" s="6"/>
      <c r="H39" s="6"/>
      <c r="I39" s="26">
        <f>$B39</f>
        <v>10</v>
      </c>
      <c r="J39" s="53"/>
      <c r="K39" s="15"/>
      <c r="L39" s="1"/>
      <c r="M39" s="1"/>
      <c r="N39" s="1"/>
      <c r="O39" s="1"/>
      <c r="P39" s="16">
        <v>10</v>
      </c>
      <c r="Q39" s="53"/>
    </row>
    <row r="40" spans="1:17" x14ac:dyDescent="0.25">
      <c r="A40" s="1" t="s">
        <v>70</v>
      </c>
      <c r="B40" s="32">
        <v>10</v>
      </c>
      <c r="C40" s="8" t="s">
        <v>52</v>
      </c>
      <c r="D40" s="29"/>
      <c r="E40" s="6"/>
      <c r="F40" s="6">
        <f>$B40</f>
        <v>10</v>
      </c>
      <c r="G40" s="6"/>
      <c r="H40" s="6"/>
      <c r="I40" s="26"/>
      <c r="J40" s="53"/>
      <c r="K40" s="15"/>
      <c r="L40" s="1"/>
      <c r="M40" s="1">
        <v>28</v>
      </c>
      <c r="N40" s="1"/>
      <c r="O40" s="1"/>
      <c r="P40" s="16"/>
      <c r="Q40" s="53"/>
    </row>
    <row r="41" spans="1:17" x14ac:dyDescent="0.25">
      <c r="A41" s="1" t="s">
        <v>69</v>
      </c>
      <c r="B41" s="32">
        <v>10</v>
      </c>
      <c r="C41" s="8" t="s">
        <v>53</v>
      </c>
      <c r="D41" s="29"/>
      <c r="E41" s="6">
        <f>$B41</f>
        <v>10</v>
      </c>
      <c r="F41" s="6"/>
      <c r="G41" s="6"/>
      <c r="H41" s="6">
        <f>$B41</f>
        <v>10</v>
      </c>
      <c r="I41" s="26"/>
      <c r="J41" s="53"/>
      <c r="K41" s="15"/>
      <c r="L41" s="1">
        <v>4</v>
      </c>
      <c r="M41" s="1"/>
      <c r="N41" s="1"/>
      <c r="O41" s="1">
        <v>22</v>
      </c>
      <c r="P41" s="16"/>
      <c r="Q41" s="53"/>
    </row>
    <row r="42" spans="1:17" x14ac:dyDescent="0.25">
      <c r="A42" s="1" t="s">
        <v>68</v>
      </c>
      <c r="B42" s="32">
        <v>10</v>
      </c>
      <c r="C42" s="8" t="s">
        <v>54</v>
      </c>
      <c r="D42" s="23">
        <f>$B42</f>
        <v>10</v>
      </c>
      <c r="E42" s="6">
        <f>$B42</f>
        <v>10</v>
      </c>
      <c r="F42" s="24"/>
      <c r="G42" s="6">
        <f>$B42</f>
        <v>10</v>
      </c>
      <c r="H42" s="6">
        <f>$B42</f>
        <v>10</v>
      </c>
      <c r="I42" s="26"/>
      <c r="J42" s="53"/>
      <c r="K42" s="15">
        <v>8</v>
      </c>
      <c r="L42" s="1">
        <v>4</v>
      </c>
      <c r="M42" s="1"/>
      <c r="N42" s="1">
        <v>8</v>
      </c>
      <c r="O42" s="1">
        <v>4</v>
      </c>
      <c r="P42" s="16"/>
      <c r="Q42" s="53"/>
    </row>
    <row r="43" spans="1:17" x14ac:dyDescent="0.25">
      <c r="A43" s="1" t="s">
        <v>67</v>
      </c>
      <c r="B43" s="32">
        <v>10</v>
      </c>
      <c r="C43" s="8" t="s">
        <v>55</v>
      </c>
      <c r="D43" s="29">
        <f>B43</f>
        <v>10</v>
      </c>
      <c r="E43" s="6">
        <f>B43</f>
        <v>10</v>
      </c>
      <c r="F43" s="6"/>
      <c r="G43" s="6">
        <f>B43</f>
        <v>10</v>
      </c>
      <c r="H43" s="6">
        <f>B43</f>
        <v>10</v>
      </c>
      <c r="I43" s="26"/>
      <c r="J43" s="53"/>
      <c r="K43" s="15">
        <v>8</v>
      </c>
      <c r="L43" s="1">
        <v>4</v>
      </c>
      <c r="M43" s="1"/>
      <c r="N43" s="1">
        <v>8</v>
      </c>
      <c r="O43" s="1">
        <v>4</v>
      </c>
      <c r="P43" s="16"/>
      <c r="Q43" s="53"/>
    </row>
    <row r="44" spans="1:17" ht="15.75" thickBot="1" x14ac:dyDescent="0.3">
      <c r="A44" s="1" t="s">
        <v>66</v>
      </c>
      <c r="B44" s="32">
        <v>10</v>
      </c>
      <c r="C44" s="8" t="s">
        <v>56</v>
      </c>
      <c r="D44" s="33"/>
      <c r="E44" s="34">
        <f>$B44</f>
        <v>10</v>
      </c>
      <c r="F44" s="34"/>
      <c r="G44" s="34"/>
      <c r="H44" s="34"/>
      <c r="I44" s="35"/>
      <c r="J44" s="53"/>
      <c r="K44" s="15"/>
      <c r="L44" s="1">
        <v>12</v>
      </c>
      <c r="M44" s="1"/>
      <c r="N44" s="1"/>
      <c r="O44" s="1"/>
      <c r="P44" s="16"/>
      <c r="Q44" s="53"/>
    </row>
    <row r="45" spans="1:17" ht="15.75" thickBot="1" x14ac:dyDescent="0.3">
      <c r="A45" s="54"/>
      <c r="B45" s="54"/>
      <c r="C45" s="54"/>
      <c r="D45" s="30">
        <f t="shared" ref="D45:I45" si="6">((K33*D33)+(K34*D34)+(D35*K35)+(K36*D36)+(K37*D37)+(K38*D38)+(K39*D39)+(K40*D40)+(K41*D41)+(K42*D42)+(K43*D43)+(K44*D44))/K45</f>
        <v>10</v>
      </c>
      <c r="E45" s="30">
        <f t="shared" si="6"/>
        <v>10</v>
      </c>
      <c r="F45" s="30">
        <f t="shared" si="6"/>
        <v>10</v>
      </c>
      <c r="G45" s="30">
        <f t="shared" si="6"/>
        <v>10</v>
      </c>
      <c r="H45" s="30">
        <f t="shared" si="6"/>
        <v>10</v>
      </c>
      <c r="I45" s="30">
        <f t="shared" si="6"/>
        <v>10</v>
      </c>
      <c r="J45" s="53"/>
      <c r="K45" s="17">
        <v>40</v>
      </c>
      <c r="L45" s="18">
        <v>40</v>
      </c>
      <c r="M45" s="18">
        <v>40</v>
      </c>
      <c r="N45" s="18">
        <v>40</v>
      </c>
      <c r="O45" s="18">
        <v>40</v>
      </c>
      <c r="P45" s="19">
        <v>40</v>
      </c>
      <c r="Q45" s="53"/>
    </row>
    <row r="46" spans="1:17" ht="15.75" thickBot="1" x14ac:dyDescent="0.3">
      <c r="A46" s="1" t="s">
        <v>10</v>
      </c>
      <c r="B46" s="6">
        <f>SUM(D46:I46)/6</f>
        <v>10</v>
      </c>
      <c r="C46" s="37"/>
      <c r="D46" s="44">
        <f t="shared" ref="D46:I46" si="7">((D45*K45)+(D31*K31))/K46</f>
        <v>10</v>
      </c>
      <c r="E46" s="44">
        <f t="shared" si="7"/>
        <v>10</v>
      </c>
      <c r="F46" s="44">
        <f t="shared" si="7"/>
        <v>10</v>
      </c>
      <c r="G46" s="44">
        <f t="shared" si="7"/>
        <v>10</v>
      </c>
      <c r="H46" s="44">
        <f t="shared" si="7"/>
        <v>10</v>
      </c>
      <c r="I46" s="45">
        <f t="shared" si="7"/>
        <v>10</v>
      </c>
      <c r="J46" s="53"/>
      <c r="K46" s="3">
        <v>100</v>
      </c>
      <c r="L46" s="4">
        <v>100</v>
      </c>
      <c r="M46" s="4">
        <v>100</v>
      </c>
      <c r="N46" s="4">
        <v>100</v>
      </c>
      <c r="O46" s="4">
        <v>100</v>
      </c>
      <c r="P46" s="5">
        <v>100</v>
      </c>
      <c r="Q46" s="53"/>
    </row>
    <row r="47" spans="1:17" x14ac:dyDescent="0.25">
      <c r="A47" s="53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</row>
    <row r="48" spans="1:17" x14ac:dyDescent="0.25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</row>
    <row r="49" spans="1:17" x14ac:dyDescent="0.25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</row>
    <row r="50" spans="1:17" x14ac:dyDescent="0.25">
      <c r="A50" s="53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</row>
    <row r="51" spans="1:17" ht="23.25" x14ac:dyDescent="0.25">
      <c r="A51" s="59" t="s">
        <v>13</v>
      </c>
      <c r="B51" s="59"/>
      <c r="C51" s="59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3"/>
    </row>
    <row r="52" spans="1:17" ht="24" thickBot="1" x14ac:dyDescent="0.3">
      <c r="A52" s="55"/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3"/>
    </row>
    <row r="53" spans="1:17" ht="15.75" thickBot="1" x14ac:dyDescent="0.3">
      <c r="A53" s="53"/>
      <c r="B53" s="53"/>
      <c r="C53" s="53"/>
      <c r="D53" s="3" t="s">
        <v>0</v>
      </c>
      <c r="E53" s="4" t="s">
        <v>1</v>
      </c>
      <c r="F53" s="4" t="s">
        <v>2</v>
      </c>
      <c r="G53" s="4" t="s">
        <v>3</v>
      </c>
      <c r="H53" s="4" t="s">
        <v>4</v>
      </c>
      <c r="I53" s="5" t="s">
        <v>5</v>
      </c>
      <c r="J53" s="53"/>
      <c r="K53" s="53"/>
      <c r="L53" s="53"/>
      <c r="M53" s="53"/>
      <c r="N53" s="53"/>
      <c r="O53" s="53"/>
      <c r="P53" s="53"/>
      <c r="Q53" s="53"/>
    </row>
    <row r="54" spans="1:17" x14ac:dyDescent="0.25">
      <c r="A54" s="53"/>
      <c r="B54" s="53"/>
      <c r="C54" s="53"/>
      <c r="D54" s="1">
        <f t="shared" ref="D54:I54" si="8">(D46+D22)/2</f>
        <v>10.25</v>
      </c>
      <c r="E54" s="1">
        <f t="shared" si="8"/>
        <v>10.032499999999999</v>
      </c>
      <c r="F54" s="1">
        <f t="shared" si="8"/>
        <v>10.190000000000001</v>
      </c>
      <c r="G54" s="1">
        <f t="shared" si="8"/>
        <v>10.025</v>
      </c>
      <c r="H54" s="1">
        <f t="shared" si="8"/>
        <v>9.8249999999999993</v>
      </c>
      <c r="I54" s="1">
        <f t="shared" si="8"/>
        <v>9.8000000000000007</v>
      </c>
      <c r="J54" s="53"/>
      <c r="K54" s="53"/>
      <c r="L54" s="53"/>
      <c r="M54" s="53"/>
      <c r="N54" s="53"/>
      <c r="O54" s="53"/>
      <c r="P54" s="53"/>
      <c r="Q54" s="53"/>
    </row>
    <row r="55" spans="1:17" x14ac:dyDescent="0.25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</row>
    <row r="56" spans="1:17" x14ac:dyDescent="0.25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</row>
  </sheetData>
  <mergeCells count="21">
    <mergeCell ref="A51:P51"/>
    <mergeCell ref="J3:J22"/>
    <mergeCell ref="A2:B5"/>
    <mergeCell ref="K6:P6"/>
    <mergeCell ref="C6:I6"/>
    <mergeCell ref="Q1:Q56"/>
    <mergeCell ref="A47:P50"/>
    <mergeCell ref="A45:C45"/>
    <mergeCell ref="A52:P52"/>
    <mergeCell ref="A53:C54"/>
    <mergeCell ref="J53:P54"/>
    <mergeCell ref="A55:P56"/>
    <mergeCell ref="A23:P24"/>
    <mergeCell ref="A21:C21"/>
    <mergeCell ref="C2:P2"/>
    <mergeCell ref="C26:P26"/>
    <mergeCell ref="C32:I32"/>
    <mergeCell ref="J27:J46"/>
    <mergeCell ref="K32:P32"/>
    <mergeCell ref="A1:P1"/>
    <mergeCell ref="A25:P25"/>
  </mergeCells>
  <conditionalFormatting sqref="D22:I22">
    <cfRule type="colorScale" priority="5">
      <colorScale>
        <cfvo type="num" val="8"/>
        <cfvo type="num" val="11"/>
        <color rgb="FFFF0000"/>
        <color rgb="FF92D050"/>
      </colorScale>
    </cfRule>
  </conditionalFormatting>
  <conditionalFormatting sqref="D46:I46">
    <cfRule type="colorScale" priority="3">
      <colorScale>
        <cfvo type="num" val="8"/>
        <cfvo type="num" val="11"/>
        <color rgb="FFFF0000"/>
        <color rgb="FF92D050"/>
      </colorScale>
    </cfRule>
  </conditionalFormatting>
  <conditionalFormatting sqref="D54:I54">
    <cfRule type="colorScale" priority="1">
      <colorScale>
        <cfvo type="num" val="8"/>
        <cfvo type="num" val="12"/>
        <color rgb="FFFF0000"/>
        <color rgb="FF92D050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2023-10-20T21:07:00Z</dcterms:modified>
</cp:coreProperties>
</file>