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doria\Downloads\"/>
    </mc:Choice>
  </mc:AlternateContent>
  <bookViews>
    <workbookView xWindow="0" yWindow="0" windowWidth="20490" windowHeight="7755" tabRatio="500" activeTab="6"/>
  </bookViews>
  <sheets>
    <sheet name="Données Ex1" sheetId="5" r:id="rId1"/>
    <sheet name="EX1_3" sheetId="12" r:id="rId2"/>
    <sheet name="Feuil1" sheetId="9" r:id="rId3"/>
    <sheet name="EX1_1" sheetId="10" r:id="rId4"/>
    <sheet name="Excel2LaTeX" sheetId="8" state="hidden" r:id="rId5"/>
    <sheet name="EX1_2" sheetId="11" r:id="rId6"/>
    <sheet name="Ex2" sheetId="2" r:id="rId7"/>
  </sheets>
  <definedNames>
    <definedName name="_xlnm.Print_Area" localSheetId="6">'Ex2'!$A$1:$M$12</definedName>
  </definedNames>
  <calcPr calcId="152511"/>
  <pivotCaches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E47" i="2"/>
  <c r="H46" i="2"/>
  <c r="G46" i="2"/>
  <c r="H45" i="2"/>
  <c r="G45" i="2"/>
  <c r="H44" i="2"/>
  <c r="G44" i="2"/>
  <c r="H43" i="2"/>
  <c r="G43" i="2"/>
  <c r="H42" i="2"/>
  <c r="G42" i="2"/>
  <c r="G47" i="2" s="1"/>
  <c r="K40" i="2" s="1"/>
  <c r="K31" i="2"/>
  <c r="K22" i="2"/>
  <c r="E38" i="2"/>
  <c r="H37" i="2"/>
  <c r="G37" i="2"/>
  <c r="H36" i="2"/>
  <c r="G36" i="2"/>
  <c r="H35" i="2"/>
  <c r="G35" i="2"/>
  <c r="H34" i="2"/>
  <c r="G34" i="2"/>
  <c r="H33" i="2"/>
  <c r="G33" i="2"/>
  <c r="H28" i="2"/>
  <c r="G28" i="2"/>
  <c r="H27" i="2"/>
  <c r="G27" i="2"/>
  <c r="H26" i="2"/>
  <c r="G26" i="2"/>
  <c r="H25" i="2"/>
  <c r="G25" i="2"/>
  <c r="H24" i="2"/>
  <c r="H29" i="2" s="1"/>
  <c r="G24" i="2"/>
  <c r="G29" i="2" s="1"/>
  <c r="E29" i="2"/>
  <c r="K13" i="2"/>
  <c r="H20" i="2"/>
  <c r="H16" i="2"/>
  <c r="H17" i="2"/>
  <c r="H18" i="2"/>
  <c r="H19" i="2"/>
  <c r="H15" i="2"/>
  <c r="G20" i="2"/>
  <c r="G16" i="2"/>
  <c r="G17" i="2"/>
  <c r="G18" i="2"/>
  <c r="G19" i="2"/>
  <c r="G15" i="2"/>
  <c r="E20" i="2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3" i="12"/>
  <c r="R5" i="11"/>
  <c r="H47" i="2" l="1"/>
  <c r="G38" i="2"/>
  <c r="H38" i="2"/>
  <c r="R4" i="11"/>
  <c r="P5" i="11"/>
  <c r="P6" i="1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4" i="11"/>
  <c r="P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3" i="11"/>
  <c r="K4" i="11"/>
  <c r="D5" i="11"/>
  <c r="E5" i="11" s="1"/>
  <c r="F5" i="11" s="1"/>
  <c r="G5" i="11" s="1"/>
  <c r="H5" i="11" s="1"/>
  <c r="I5" i="11" s="1"/>
  <c r="J5" i="11" s="1"/>
  <c r="C5" i="11"/>
  <c r="B5" i="11"/>
  <c r="C4" i="11"/>
  <c r="D4" i="11"/>
  <c r="E4" i="11"/>
  <c r="F4" i="11"/>
  <c r="G4" i="11"/>
  <c r="H4" i="11"/>
  <c r="I4" i="11"/>
  <c r="J4" i="11"/>
  <c r="B4" i="11"/>
  <c r="I5" i="2" l="1"/>
  <c r="I6" i="2"/>
  <c r="I7" i="2"/>
  <c r="I8" i="2"/>
  <c r="I9" i="2"/>
  <c r="E10" i="2"/>
  <c r="F10" i="2"/>
  <c r="G10" i="2"/>
  <c r="H10" i="2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I10" i="2" l="1"/>
  <c r="A2" i="8"/>
</calcChain>
</file>

<file path=xl/sharedStrings.xml><?xml version="1.0" encoding="utf-8"?>
<sst xmlns="http://schemas.openxmlformats.org/spreadsheetml/2006/main" count="105" uniqueCount="40">
  <si>
    <t>P</t>
  </si>
  <si>
    <t>S</t>
  </si>
  <si>
    <t>Exercice 2</t>
  </si>
  <si>
    <t>Total</t>
  </si>
  <si>
    <t>[40,120[</t>
  </si>
  <si>
    <t>[120,200[</t>
  </si>
  <si>
    <t>[200,280[</t>
  </si>
  <si>
    <t>[280,360[</t>
  </si>
  <si>
    <t>Poids des feuilles, X</t>
  </si>
  <si>
    <t>[0,160[</t>
  </si>
  <si>
    <t>[160,320[</t>
  </si>
  <si>
    <t>[320,480[</t>
  </si>
  <si>
    <t>[480,640[</t>
  </si>
  <si>
    <t>[640,800[</t>
  </si>
  <si>
    <t>N°</t>
  </si>
  <si>
    <t>RangeAddress</t>
  </si>
  <si>
    <t>Options</t>
  </si>
  <si>
    <t>CellWidth</t>
  </si>
  <si>
    <t>Indent</t>
  </si>
  <si>
    <t>FileName</t>
  </si>
  <si>
    <t>Ex2Tabcorrigés.tex</t>
  </si>
  <si>
    <t xml:space="preserve">         </t>
  </si>
  <si>
    <t>Poids des racines ,Y</t>
  </si>
  <si>
    <t>Étiquettes de lignes</t>
  </si>
  <si>
    <t>Total général</t>
  </si>
  <si>
    <t>Étiquettes de colonnes</t>
  </si>
  <si>
    <t>Nombre de N°</t>
  </si>
  <si>
    <t>Moyenne</t>
  </si>
  <si>
    <t>xi</t>
  </si>
  <si>
    <t>ni</t>
  </si>
  <si>
    <t>xi*ni</t>
  </si>
  <si>
    <t>effective cumlé croissant</t>
  </si>
  <si>
    <t>Effective cumulé</t>
  </si>
  <si>
    <t xml:space="preserve">il y a de nombreux points "éloigné" de la doite de correlation linaire </t>
  </si>
  <si>
    <t>Cela signifie que la correlation linaire entre la surface et le nombre de pièce est faible</t>
  </si>
  <si>
    <t>centre xi</t>
  </si>
  <si>
    <t>ni*xi</t>
  </si>
  <si>
    <t>ni*xi^2</t>
  </si>
  <si>
    <t>Variance</t>
  </si>
  <si>
    <t>Ecart-type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</si>
</sst>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Verdana"/>
    </font>
    <font>
      <sz val="10"/>
      <name val="Verdana"/>
      <family val="2"/>
    </font>
    <font>
      <b/>
      <sz val="12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6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/>
    <xf numFmtId="0" fontId="1" fillId="0" borderId="7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0" fillId="0" borderId="0" xfId="0" applyNumberFormat="1"/>
    <xf numFmtId="0" fontId="0" fillId="0" borderId="0" xfId="0" pivotButton="1"/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EX1_3!$B$2:$B$81</c:f>
              <c:numCache>
                <c:formatCode>General</c:formatCode>
                <c:ptCount val="8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6</c:v>
                </c:pt>
                <c:pt idx="24">
                  <c:v>10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6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3</c:v>
                </c:pt>
                <c:pt idx="39">
                  <c:v>6</c:v>
                </c:pt>
                <c:pt idx="40">
                  <c:v>5</c:v>
                </c:pt>
                <c:pt idx="41">
                  <c:v>3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6</c:v>
                </c:pt>
                <c:pt idx="46">
                  <c:v>5</c:v>
                </c:pt>
                <c:pt idx="47">
                  <c:v>1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  <c:pt idx="57">
                  <c:v>2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3</c:v>
                </c:pt>
                <c:pt idx="62">
                  <c:v>5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3</c:v>
                </c:pt>
                <c:pt idx="67">
                  <c:v>6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5</c:v>
                </c:pt>
                <c:pt idx="74">
                  <c:v>6</c:v>
                </c:pt>
                <c:pt idx="75">
                  <c:v>5</c:v>
                </c:pt>
                <c:pt idx="76">
                  <c:v>9</c:v>
                </c:pt>
                <c:pt idx="77">
                  <c:v>7</c:v>
                </c:pt>
                <c:pt idx="78">
                  <c:v>2</c:v>
                </c:pt>
                <c:pt idx="79">
                  <c:v>7</c:v>
                </c:pt>
              </c:numCache>
            </c:numRef>
          </c:xVal>
          <c:yVal>
            <c:numRef>
              <c:f>EX1_3!$C$2:$C$81</c:f>
              <c:numCache>
                <c:formatCode>General</c:formatCode>
                <c:ptCount val="80"/>
                <c:pt idx="0">
                  <c:v>73</c:v>
                </c:pt>
                <c:pt idx="1">
                  <c:v>75</c:v>
                </c:pt>
                <c:pt idx="2">
                  <c:v>66</c:v>
                </c:pt>
                <c:pt idx="3">
                  <c:v>51</c:v>
                </c:pt>
                <c:pt idx="4">
                  <c:v>58</c:v>
                </c:pt>
                <c:pt idx="5">
                  <c:v>62</c:v>
                </c:pt>
                <c:pt idx="6">
                  <c:v>93</c:v>
                </c:pt>
                <c:pt idx="7">
                  <c:v>110</c:v>
                </c:pt>
                <c:pt idx="8">
                  <c:v>84</c:v>
                </c:pt>
                <c:pt idx="9">
                  <c:v>64</c:v>
                </c:pt>
                <c:pt idx="10">
                  <c:v>61</c:v>
                </c:pt>
                <c:pt idx="11">
                  <c:v>68</c:v>
                </c:pt>
                <c:pt idx="12">
                  <c:v>66</c:v>
                </c:pt>
                <c:pt idx="13">
                  <c:v>92</c:v>
                </c:pt>
                <c:pt idx="14">
                  <c:v>91</c:v>
                </c:pt>
                <c:pt idx="15">
                  <c:v>80</c:v>
                </c:pt>
                <c:pt idx="16">
                  <c:v>84</c:v>
                </c:pt>
                <c:pt idx="17">
                  <c:v>91</c:v>
                </c:pt>
                <c:pt idx="18">
                  <c:v>53</c:v>
                </c:pt>
                <c:pt idx="19">
                  <c:v>87</c:v>
                </c:pt>
                <c:pt idx="20">
                  <c:v>78</c:v>
                </c:pt>
                <c:pt idx="21">
                  <c:v>69</c:v>
                </c:pt>
                <c:pt idx="22">
                  <c:v>73</c:v>
                </c:pt>
                <c:pt idx="23">
                  <c:v>94</c:v>
                </c:pt>
                <c:pt idx="24">
                  <c:v>163</c:v>
                </c:pt>
                <c:pt idx="25">
                  <c:v>58</c:v>
                </c:pt>
                <c:pt idx="26">
                  <c:v>62</c:v>
                </c:pt>
                <c:pt idx="27">
                  <c:v>121</c:v>
                </c:pt>
                <c:pt idx="28">
                  <c:v>79</c:v>
                </c:pt>
                <c:pt idx="29">
                  <c:v>98</c:v>
                </c:pt>
                <c:pt idx="30">
                  <c:v>46</c:v>
                </c:pt>
                <c:pt idx="31">
                  <c:v>70</c:v>
                </c:pt>
                <c:pt idx="32">
                  <c:v>51</c:v>
                </c:pt>
                <c:pt idx="33">
                  <c:v>78</c:v>
                </c:pt>
                <c:pt idx="34">
                  <c:v>66</c:v>
                </c:pt>
                <c:pt idx="35">
                  <c:v>47</c:v>
                </c:pt>
                <c:pt idx="36">
                  <c:v>63</c:v>
                </c:pt>
                <c:pt idx="37">
                  <c:v>161</c:v>
                </c:pt>
                <c:pt idx="38">
                  <c:v>62</c:v>
                </c:pt>
                <c:pt idx="39">
                  <c:v>80</c:v>
                </c:pt>
                <c:pt idx="40">
                  <c:v>72</c:v>
                </c:pt>
                <c:pt idx="41">
                  <c:v>68</c:v>
                </c:pt>
                <c:pt idx="42">
                  <c:v>89</c:v>
                </c:pt>
                <c:pt idx="43">
                  <c:v>71</c:v>
                </c:pt>
                <c:pt idx="44">
                  <c:v>78</c:v>
                </c:pt>
                <c:pt idx="45">
                  <c:v>117</c:v>
                </c:pt>
                <c:pt idx="46">
                  <c:v>62</c:v>
                </c:pt>
                <c:pt idx="47">
                  <c:v>24</c:v>
                </c:pt>
                <c:pt idx="48">
                  <c:v>76</c:v>
                </c:pt>
                <c:pt idx="49">
                  <c:v>60</c:v>
                </c:pt>
                <c:pt idx="50">
                  <c:v>66</c:v>
                </c:pt>
                <c:pt idx="51">
                  <c:v>59</c:v>
                </c:pt>
                <c:pt idx="52">
                  <c:v>76</c:v>
                </c:pt>
                <c:pt idx="53">
                  <c:v>95</c:v>
                </c:pt>
                <c:pt idx="54">
                  <c:v>77</c:v>
                </c:pt>
                <c:pt idx="55">
                  <c:v>138</c:v>
                </c:pt>
                <c:pt idx="56">
                  <c:v>67</c:v>
                </c:pt>
                <c:pt idx="57">
                  <c:v>55</c:v>
                </c:pt>
                <c:pt idx="58">
                  <c:v>79</c:v>
                </c:pt>
                <c:pt idx="59">
                  <c:v>82</c:v>
                </c:pt>
                <c:pt idx="60">
                  <c:v>47</c:v>
                </c:pt>
                <c:pt idx="61">
                  <c:v>63</c:v>
                </c:pt>
                <c:pt idx="62">
                  <c:v>84</c:v>
                </c:pt>
                <c:pt idx="63">
                  <c:v>34</c:v>
                </c:pt>
                <c:pt idx="64">
                  <c:v>68</c:v>
                </c:pt>
                <c:pt idx="65">
                  <c:v>71</c:v>
                </c:pt>
                <c:pt idx="66">
                  <c:v>59</c:v>
                </c:pt>
                <c:pt idx="67">
                  <c:v>90</c:v>
                </c:pt>
                <c:pt idx="68">
                  <c:v>65</c:v>
                </c:pt>
                <c:pt idx="69">
                  <c:v>67</c:v>
                </c:pt>
                <c:pt idx="70">
                  <c:v>71</c:v>
                </c:pt>
                <c:pt idx="71">
                  <c:v>66</c:v>
                </c:pt>
                <c:pt idx="72">
                  <c:v>72</c:v>
                </c:pt>
                <c:pt idx="73">
                  <c:v>94</c:v>
                </c:pt>
                <c:pt idx="74">
                  <c:v>104</c:v>
                </c:pt>
                <c:pt idx="75">
                  <c:v>88</c:v>
                </c:pt>
                <c:pt idx="76">
                  <c:v>133</c:v>
                </c:pt>
                <c:pt idx="77">
                  <c:v>92</c:v>
                </c:pt>
                <c:pt idx="78">
                  <c:v>32</c:v>
                </c:pt>
                <c:pt idx="79">
                  <c:v>112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6432176"/>
        <c:axId val="-96435440"/>
      </c:scatterChart>
      <c:valAx>
        <c:axId val="-9643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6435440"/>
        <c:crosses val="autoZero"/>
        <c:crossBetween val="midCat"/>
      </c:valAx>
      <c:valAx>
        <c:axId val="-9643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643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EX1_3!$C$2:$C$80</c:f>
              <c:numCache>
                <c:formatCode>General</c:formatCode>
                <c:ptCount val="79"/>
                <c:pt idx="0">
                  <c:v>73</c:v>
                </c:pt>
                <c:pt idx="1">
                  <c:v>75</c:v>
                </c:pt>
                <c:pt idx="2">
                  <c:v>66</c:v>
                </c:pt>
                <c:pt idx="3">
                  <c:v>51</c:v>
                </c:pt>
                <c:pt idx="4">
                  <c:v>58</c:v>
                </c:pt>
                <c:pt idx="5">
                  <c:v>62</c:v>
                </c:pt>
                <c:pt idx="6">
                  <c:v>93</c:v>
                </c:pt>
                <c:pt idx="7">
                  <c:v>110</c:v>
                </c:pt>
                <c:pt idx="8">
                  <c:v>84</c:v>
                </c:pt>
                <c:pt idx="9">
                  <c:v>64</c:v>
                </c:pt>
                <c:pt idx="10">
                  <c:v>61</c:v>
                </c:pt>
                <c:pt idx="11">
                  <c:v>68</c:v>
                </c:pt>
                <c:pt idx="12">
                  <c:v>66</c:v>
                </c:pt>
                <c:pt idx="13">
                  <c:v>92</c:v>
                </c:pt>
                <c:pt idx="14">
                  <c:v>91</c:v>
                </c:pt>
                <c:pt idx="15">
                  <c:v>80</c:v>
                </c:pt>
                <c:pt idx="16">
                  <c:v>84</c:v>
                </c:pt>
                <c:pt idx="17">
                  <c:v>91</c:v>
                </c:pt>
                <c:pt idx="18">
                  <c:v>53</c:v>
                </c:pt>
                <c:pt idx="19">
                  <c:v>87</c:v>
                </c:pt>
                <c:pt idx="20">
                  <c:v>78</c:v>
                </c:pt>
                <c:pt idx="21">
                  <c:v>69</c:v>
                </c:pt>
                <c:pt idx="22">
                  <c:v>73</c:v>
                </c:pt>
                <c:pt idx="23">
                  <c:v>94</c:v>
                </c:pt>
                <c:pt idx="24">
                  <c:v>163</c:v>
                </c:pt>
                <c:pt idx="25">
                  <c:v>58</c:v>
                </c:pt>
                <c:pt idx="26">
                  <c:v>62</c:v>
                </c:pt>
                <c:pt idx="27">
                  <c:v>121</c:v>
                </c:pt>
                <c:pt idx="28">
                  <c:v>79</c:v>
                </c:pt>
                <c:pt idx="29">
                  <c:v>98</c:v>
                </c:pt>
                <c:pt idx="30">
                  <c:v>46</c:v>
                </c:pt>
                <c:pt idx="31">
                  <c:v>70</c:v>
                </c:pt>
                <c:pt idx="32">
                  <c:v>51</c:v>
                </c:pt>
                <c:pt idx="33">
                  <c:v>78</c:v>
                </c:pt>
                <c:pt idx="34">
                  <c:v>66</c:v>
                </c:pt>
                <c:pt idx="35">
                  <c:v>47</c:v>
                </c:pt>
                <c:pt idx="36">
                  <c:v>63</c:v>
                </c:pt>
                <c:pt idx="37">
                  <c:v>161</c:v>
                </c:pt>
                <c:pt idx="38">
                  <c:v>62</c:v>
                </c:pt>
                <c:pt idx="39">
                  <c:v>80</c:v>
                </c:pt>
                <c:pt idx="40">
                  <c:v>72</c:v>
                </c:pt>
                <c:pt idx="41">
                  <c:v>68</c:v>
                </c:pt>
                <c:pt idx="42">
                  <c:v>89</c:v>
                </c:pt>
                <c:pt idx="43">
                  <c:v>71</c:v>
                </c:pt>
                <c:pt idx="44">
                  <c:v>78</c:v>
                </c:pt>
                <c:pt idx="45">
                  <c:v>117</c:v>
                </c:pt>
                <c:pt idx="46">
                  <c:v>62</c:v>
                </c:pt>
                <c:pt idx="47">
                  <c:v>24</c:v>
                </c:pt>
                <c:pt idx="48">
                  <c:v>76</c:v>
                </c:pt>
                <c:pt idx="49">
                  <c:v>60</c:v>
                </c:pt>
                <c:pt idx="50">
                  <c:v>66</c:v>
                </c:pt>
                <c:pt idx="51">
                  <c:v>59</c:v>
                </c:pt>
                <c:pt idx="52">
                  <c:v>76</c:v>
                </c:pt>
                <c:pt idx="53">
                  <c:v>95</c:v>
                </c:pt>
                <c:pt idx="54">
                  <c:v>77</c:v>
                </c:pt>
                <c:pt idx="55">
                  <c:v>138</c:v>
                </c:pt>
                <c:pt idx="56">
                  <c:v>67</c:v>
                </c:pt>
                <c:pt idx="57">
                  <c:v>55</c:v>
                </c:pt>
                <c:pt idx="58">
                  <c:v>79</c:v>
                </c:pt>
                <c:pt idx="59">
                  <c:v>82</c:v>
                </c:pt>
                <c:pt idx="60">
                  <c:v>47</c:v>
                </c:pt>
                <c:pt idx="61">
                  <c:v>63</c:v>
                </c:pt>
                <c:pt idx="62">
                  <c:v>84</c:v>
                </c:pt>
                <c:pt idx="63">
                  <c:v>34</c:v>
                </c:pt>
                <c:pt idx="64">
                  <c:v>68</c:v>
                </c:pt>
                <c:pt idx="65">
                  <c:v>71</c:v>
                </c:pt>
                <c:pt idx="66">
                  <c:v>59</c:v>
                </c:pt>
                <c:pt idx="67">
                  <c:v>90</c:v>
                </c:pt>
                <c:pt idx="68">
                  <c:v>65</c:v>
                </c:pt>
                <c:pt idx="69">
                  <c:v>67</c:v>
                </c:pt>
                <c:pt idx="70">
                  <c:v>71</c:v>
                </c:pt>
                <c:pt idx="71">
                  <c:v>66</c:v>
                </c:pt>
                <c:pt idx="72">
                  <c:v>72</c:v>
                </c:pt>
                <c:pt idx="73">
                  <c:v>94</c:v>
                </c:pt>
                <c:pt idx="74">
                  <c:v>104</c:v>
                </c:pt>
                <c:pt idx="75">
                  <c:v>88</c:v>
                </c:pt>
                <c:pt idx="76">
                  <c:v>133</c:v>
                </c:pt>
                <c:pt idx="77">
                  <c:v>92</c:v>
                </c:pt>
                <c:pt idx="78">
                  <c:v>32</c:v>
                </c:pt>
              </c:numCache>
            </c:numRef>
          </c:xVal>
          <c:yVal>
            <c:numRef>
              <c:f>EX1_3!$B$2:$B$80</c:f>
              <c:numCache>
                <c:formatCode>General</c:formatCode>
                <c:ptCount val="79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6</c:v>
                </c:pt>
                <c:pt idx="24">
                  <c:v>10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6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3</c:v>
                </c:pt>
                <c:pt idx="39">
                  <c:v>6</c:v>
                </c:pt>
                <c:pt idx="40">
                  <c:v>5</c:v>
                </c:pt>
                <c:pt idx="41">
                  <c:v>3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6</c:v>
                </c:pt>
                <c:pt idx="46">
                  <c:v>5</c:v>
                </c:pt>
                <c:pt idx="47">
                  <c:v>1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  <c:pt idx="57">
                  <c:v>2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3</c:v>
                </c:pt>
                <c:pt idx="62">
                  <c:v>5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3</c:v>
                </c:pt>
                <c:pt idx="67">
                  <c:v>6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5</c:v>
                </c:pt>
                <c:pt idx="74">
                  <c:v>6</c:v>
                </c:pt>
                <c:pt idx="75">
                  <c:v>5</c:v>
                </c:pt>
                <c:pt idx="76">
                  <c:v>9</c:v>
                </c:pt>
                <c:pt idx="77">
                  <c:v>7</c:v>
                </c:pt>
                <c:pt idx="78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77730592"/>
        <c:axId val="-1977732768"/>
      </c:scatterChart>
      <c:valAx>
        <c:axId val="-197773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77732768"/>
        <c:crosses val="autoZero"/>
        <c:crossBetween val="midCat"/>
      </c:valAx>
      <c:valAx>
        <c:axId val="-19777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7773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381000</xdr:colOff>
      <xdr:row>17</xdr:row>
      <xdr:rowOff>152400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9</xdr:col>
      <xdr:colOff>381000</xdr:colOff>
      <xdr:row>36</xdr:row>
      <xdr:rowOff>152400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orian Bucchiotty" refreshedDate="43617.349121064814" createdVersion="5" refreshedVersion="5" minRefreshableVersion="3" recordCount="80">
  <cacheSource type="worksheet">
    <worksheetSource ref="A1:C81" sheet="Données Ex1"/>
  </cacheSource>
  <cacheFields count="3">
    <cacheField name="N°" numFmtId="0">
      <sharedItems containsSemiMixedTypes="0" containsString="0" containsNumber="1" containsInteger="1" minValue="1" maxValue="80" count="8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</sharedItems>
    </cacheField>
    <cacheField name="P" numFmtId="0">
      <sharedItems containsSemiMixedTypes="0" containsString="0" containsNumber="1" containsInteger="1" minValue="1" maxValue="10" count="9">
        <n v="5"/>
        <n v="4"/>
        <n v="3"/>
        <n v="6"/>
        <n v="10"/>
        <n v="2"/>
        <n v="1"/>
        <n v="9"/>
        <n v="7"/>
      </sharedItems>
    </cacheField>
    <cacheField name="S" numFmtId="0">
      <sharedItems containsSemiMixedTypes="0" containsString="0" containsNumber="1" containsInteger="1" minValue="24" maxValue="163" count="51">
        <n v="73"/>
        <n v="75"/>
        <n v="66"/>
        <n v="51"/>
        <n v="58"/>
        <n v="62"/>
        <n v="93"/>
        <n v="110"/>
        <n v="84"/>
        <n v="64"/>
        <n v="61"/>
        <n v="68"/>
        <n v="92"/>
        <n v="91"/>
        <n v="80"/>
        <n v="53"/>
        <n v="87"/>
        <n v="78"/>
        <n v="69"/>
        <n v="94"/>
        <n v="163"/>
        <n v="121"/>
        <n v="79"/>
        <n v="98"/>
        <n v="46"/>
        <n v="70"/>
        <n v="47"/>
        <n v="63"/>
        <n v="161"/>
        <n v="72"/>
        <n v="89"/>
        <n v="71"/>
        <n v="117"/>
        <n v="24"/>
        <n v="76"/>
        <n v="60"/>
        <n v="59"/>
        <n v="95"/>
        <n v="77"/>
        <n v="138"/>
        <n v="67"/>
        <n v="55"/>
        <n v="82"/>
        <n v="34"/>
        <n v="90"/>
        <n v="65"/>
        <n v="104"/>
        <n v="88"/>
        <n v="133"/>
        <n v="32"/>
        <n v="1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</r>
  <r>
    <x v="1"/>
    <x v="1"/>
    <x v="1"/>
  </r>
  <r>
    <x v="2"/>
    <x v="2"/>
    <x v="2"/>
  </r>
  <r>
    <x v="3"/>
    <x v="1"/>
    <x v="3"/>
  </r>
  <r>
    <x v="4"/>
    <x v="2"/>
    <x v="4"/>
  </r>
  <r>
    <x v="5"/>
    <x v="1"/>
    <x v="5"/>
  </r>
  <r>
    <x v="6"/>
    <x v="2"/>
    <x v="6"/>
  </r>
  <r>
    <x v="7"/>
    <x v="0"/>
    <x v="7"/>
  </r>
  <r>
    <x v="8"/>
    <x v="1"/>
    <x v="8"/>
  </r>
  <r>
    <x v="9"/>
    <x v="1"/>
    <x v="9"/>
  </r>
  <r>
    <x v="10"/>
    <x v="1"/>
    <x v="10"/>
  </r>
  <r>
    <x v="11"/>
    <x v="1"/>
    <x v="11"/>
  </r>
  <r>
    <x v="12"/>
    <x v="0"/>
    <x v="2"/>
  </r>
  <r>
    <x v="13"/>
    <x v="0"/>
    <x v="12"/>
  </r>
  <r>
    <x v="14"/>
    <x v="0"/>
    <x v="13"/>
  </r>
  <r>
    <x v="15"/>
    <x v="0"/>
    <x v="14"/>
  </r>
  <r>
    <x v="16"/>
    <x v="0"/>
    <x v="8"/>
  </r>
  <r>
    <x v="17"/>
    <x v="1"/>
    <x v="13"/>
  </r>
  <r>
    <x v="18"/>
    <x v="2"/>
    <x v="15"/>
  </r>
  <r>
    <x v="19"/>
    <x v="1"/>
    <x v="16"/>
  </r>
  <r>
    <x v="20"/>
    <x v="2"/>
    <x v="17"/>
  </r>
  <r>
    <x v="21"/>
    <x v="1"/>
    <x v="18"/>
  </r>
  <r>
    <x v="22"/>
    <x v="1"/>
    <x v="0"/>
  </r>
  <r>
    <x v="23"/>
    <x v="3"/>
    <x v="19"/>
  </r>
  <r>
    <x v="24"/>
    <x v="4"/>
    <x v="20"/>
  </r>
  <r>
    <x v="25"/>
    <x v="2"/>
    <x v="4"/>
  </r>
  <r>
    <x v="26"/>
    <x v="1"/>
    <x v="5"/>
  </r>
  <r>
    <x v="27"/>
    <x v="0"/>
    <x v="21"/>
  </r>
  <r>
    <x v="28"/>
    <x v="1"/>
    <x v="22"/>
  </r>
  <r>
    <x v="29"/>
    <x v="1"/>
    <x v="23"/>
  </r>
  <r>
    <x v="30"/>
    <x v="5"/>
    <x v="24"/>
  </r>
  <r>
    <x v="31"/>
    <x v="2"/>
    <x v="25"/>
  </r>
  <r>
    <x v="32"/>
    <x v="2"/>
    <x v="3"/>
  </r>
  <r>
    <x v="33"/>
    <x v="3"/>
    <x v="17"/>
  </r>
  <r>
    <x v="34"/>
    <x v="1"/>
    <x v="2"/>
  </r>
  <r>
    <x v="35"/>
    <x v="2"/>
    <x v="26"/>
  </r>
  <r>
    <x v="36"/>
    <x v="1"/>
    <x v="27"/>
  </r>
  <r>
    <x v="37"/>
    <x v="0"/>
    <x v="28"/>
  </r>
  <r>
    <x v="38"/>
    <x v="2"/>
    <x v="5"/>
  </r>
  <r>
    <x v="39"/>
    <x v="3"/>
    <x v="14"/>
  </r>
  <r>
    <x v="40"/>
    <x v="0"/>
    <x v="29"/>
  </r>
  <r>
    <x v="41"/>
    <x v="2"/>
    <x v="11"/>
  </r>
  <r>
    <x v="42"/>
    <x v="0"/>
    <x v="30"/>
  </r>
  <r>
    <x v="43"/>
    <x v="0"/>
    <x v="31"/>
  </r>
  <r>
    <x v="44"/>
    <x v="0"/>
    <x v="17"/>
  </r>
  <r>
    <x v="45"/>
    <x v="3"/>
    <x v="32"/>
  </r>
  <r>
    <x v="46"/>
    <x v="0"/>
    <x v="5"/>
  </r>
  <r>
    <x v="47"/>
    <x v="6"/>
    <x v="33"/>
  </r>
  <r>
    <x v="48"/>
    <x v="1"/>
    <x v="34"/>
  </r>
  <r>
    <x v="49"/>
    <x v="1"/>
    <x v="35"/>
  </r>
  <r>
    <x v="50"/>
    <x v="1"/>
    <x v="2"/>
  </r>
  <r>
    <x v="51"/>
    <x v="2"/>
    <x v="36"/>
  </r>
  <r>
    <x v="52"/>
    <x v="1"/>
    <x v="34"/>
  </r>
  <r>
    <x v="53"/>
    <x v="0"/>
    <x v="37"/>
  </r>
  <r>
    <x v="54"/>
    <x v="2"/>
    <x v="38"/>
  </r>
  <r>
    <x v="55"/>
    <x v="1"/>
    <x v="39"/>
  </r>
  <r>
    <x v="56"/>
    <x v="1"/>
    <x v="40"/>
  </r>
  <r>
    <x v="57"/>
    <x v="5"/>
    <x v="41"/>
  </r>
  <r>
    <x v="58"/>
    <x v="0"/>
    <x v="22"/>
  </r>
  <r>
    <x v="59"/>
    <x v="1"/>
    <x v="42"/>
  </r>
  <r>
    <x v="60"/>
    <x v="1"/>
    <x v="26"/>
  </r>
  <r>
    <x v="61"/>
    <x v="2"/>
    <x v="27"/>
  </r>
  <r>
    <x v="62"/>
    <x v="0"/>
    <x v="8"/>
  </r>
  <r>
    <x v="63"/>
    <x v="2"/>
    <x v="43"/>
  </r>
  <r>
    <x v="64"/>
    <x v="1"/>
    <x v="11"/>
  </r>
  <r>
    <x v="65"/>
    <x v="1"/>
    <x v="31"/>
  </r>
  <r>
    <x v="66"/>
    <x v="2"/>
    <x v="36"/>
  </r>
  <r>
    <x v="67"/>
    <x v="3"/>
    <x v="44"/>
  </r>
  <r>
    <x v="68"/>
    <x v="1"/>
    <x v="45"/>
  </r>
  <r>
    <x v="69"/>
    <x v="1"/>
    <x v="40"/>
  </r>
  <r>
    <x v="70"/>
    <x v="1"/>
    <x v="31"/>
  </r>
  <r>
    <x v="71"/>
    <x v="1"/>
    <x v="2"/>
  </r>
  <r>
    <x v="72"/>
    <x v="1"/>
    <x v="29"/>
  </r>
  <r>
    <x v="73"/>
    <x v="0"/>
    <x v="19"/>
  </r>
  <r>
    <x v="74"/>
    <x v="3"/>
    <x v="46"/>
  </r>
  <r>
    <x v="75"/>
    <x v="0"/>
    <x v="47"/>
  </r>
  <r>
    <x v="76"/>
    <x v="7"/>
    <x v="48"/>
  </r>
  <r>
    <x v="77"/>
    <x v="8"/>
    <x v="12"/>
  </r>
  <r>
    <x v="78"/>
    <x v="5"/>
    <x v="49"/>
  </r>
  <r>
    <x v="79"/>
    <x v="8"/>
    <x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4" dataOnRows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K5" firstHeaderRow="1" firstDataRow="2" firstDataCol="1"/>
  <pivotFields count="3">
    <pivotField dataField="1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axis="axisCol" showAll="0">
      <items count="10">
        <item x="6"/>
        <item x="5"/>
        <item x="2"/>
        <item x="1"/>
        <item x="0"/>
        <item x="3"/>
        <item x="8"/>
        <item x="7"/>
        <item x="4"/>
        <item t="default"/>
      </items>
    </pivotField>
    <pivotField showAll="0">
      <items count="52">
        <item x="33"/>
        <item x="49"/>
        <item x="43"/>
        <item x="24"/>
        <item x="26"/>
        <item x="3"/>
        <item x="15"/>
        <item x="41"/>
        <item x="4"/>
        <item x="36"/>
        <item x="35"/>
        <item x="10"/>
        <item x="5"/>
        <item x="27"/>
        <item x="9"/>
        <item x="45"/>
        <item x="2"/>
        <item x="40"/>
        <item x="11"/>
        <item x="18"/>
        <item x="25"/>
        <item x="31"/>
        <item x="29"/>
        <item x="0"/>
        <item x="1"/>
        <item x="34"/>
        <item x="38"/>
        <item x="17"/>
        <item x="22"/>
        <item x="14"/>
        <item x="42"/>
        <item x="8"/>
        <item x="16"/>
        <item x="47"/>
        <item x="30"/>
        <item x="44"/>
        <item x="13"/>
        <item x="12"/>
        <item x="6"/>
        <item x="19"/>
        <item x="37"/>
        <item x="23"/>
        <item x="46"/>
        <item x="7"/>
        <item x="50"/>
        <item x="32"/>
        <item x="21"/>
        <item x="48"/>
        <item x="39"/>
        <item x="28"/>
        <item x="20"/>
        <item t="default"/>
      </items>
    </pivotField>
  </pivotFields>
  <rowItems count="1">
    <i/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Nombre de N°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C81"/>
  <sheetViews>
    <sheetView workbookViewId="0">
      <selection sqref="A1:C81"/>
    </sheetView>
  </sheetViews>
  <sheetFormatPr baseColWidth="10" defaultRowHeight="12.75" x14ac:dyDescent="0.2"/>
  <sheetData>
    <row r="1" spans="1:3" x14ac:dyDescent="0.2">
      <c r="A1" s="12" t="s">
        <v>14</v>
      </c>
      <c r="B1" s="12" t="s">
        <v>0</v>
      </c>
      <c r="C1" s="12" t="s">
        <v>1</v>
      </c>
    </row>
    <row r="2" spans="1:3" x14ac:dyDescent="0.2">
      <c r="A2">
        <v>1</v>
      </c>
      <c r="B2">
        <v>5</v>
      </c>
      <c r="C2">
        <v>73</v>
      </c>
    </row>
    <row r="3" spans="1:3" x14ac:dyDescent="0.2">
      <c r="A3">
        <f>A2+1</f>
        <v>2</v>
      </c>
      <c r="B3">
        <v>4</v>
      </c>
      <c r="C3">
        <v>75</v>
      </c>
    </row>
    <row r="4" spans="1:3" x14ac:dyDescent="0.2">
      <c r="A4">
        <f t="shared" ref="A4:A67" si="0">A3+1</f>
        <v>3</v>
      </c>
      <c r="B4">
        <v>3</v>
      </c>
      <c r="C4">
        <v>66</v>
      </c>
    </row>
    <row r="5" spans="1:3" x14ac:dyDescent="0.2">
      <c r="A5">
        <f t="shared" si="0"/>
        <v>4</v>
      </c>
      <c r="B5">
        <v>4</v>
      </c>
      <c r="C5">
        <v>51</v>
      </c>
    </row>
    <row r="6" spans="1:3" x14ac:dyDescent="0.2">
      <c r="A6">
        <f t="shared" si="0"/>
        <v>5</v>
      </c>
      <c r="B6">
        <v>3</v>
      </c>
      <c r="C6">
        <v>58</v>
      </c>
    </row>
    <row r="7" spans="1:3" x14ac:dyDescent="0.2">
      <c r="A7">
        <f t="shared" si="0"/>
        <v>6</v>
      </c>
      <c r="B7">
        <v>4</v>
      </c>
      <c r="C7">
        <v>62</v>
      </c>
    </row>
    <row r="8" spans="1:3" x14ac:dyDescent="0.2">
      <c r="A8">
        <f t="shared" si="0"/>
        <v>7</v>
      </c>
      <c r="B8">
        <v>3</v>
      </c>
      <c r="C8">
        <v>93</v>
      </c>
    </row>
    <row r="9" spans="1:3" x14ac:dyDescent="0.2">
      <c r="A9">
        <f t="shared" si="0"/>
        <v>8</v>
      </c>
      <c r="B9">
        <v>5</v>
      </c>
      <c r="C9">
        <v>110</v>
      </c>
    </row>
    <row r="10" spans="1:3" x14ac:dyDescent="0.2">
      <c r="A10">
        <f t="shared" si="0"/>
        <v>9</v>
      </c>
      <c r="B10">
        <v>4</v>
      </c>
      <c r="C10">
        <v>84</v>
      </c>
    </row>
    <row r="11" spans="1:3" x14ac:dyDescent="0.2">
      <c r="A11">
        <f t="shared" si="0"/>
        <v>10</v>
      </c>
      <c r="B11">
        <v>4</v>
      </c>
      <c r="C11">
        <v>64</v>
      </c>
    </row>
    <row r="12" spans="1:3" x14ac:dyDescent="0.2">
      <c r="A12">
        <f t="shared" si="0"/>
        <v>11</v>
      </c>
      <c r="B12">
        <v>4</v>
      </c>
      <c r="C12">
        <v>61</v>
      </c>
    </row>
    <row r="13" spans="1:3" x14ac:dyDescent="0.2">
      <c r="A13">
        <f t="shared" si="0"/>
        <v>12</v>
      </c>
      <c r="B13">
        <v>4</v>
      </c>
      <c r="C13">
        <v>68</v>
      </c>
    </row>
    <row r="14" spans="1:3" x14ac:dyDescent="0.2">
      <c r="A14">
        <f t="shared" si="0"/>
        <v>13</v>
      </c>
      <c r="B14">
        <v>5</v>
      </c>
      <c r="C14">
        <v>66</v>
      </c>
    </row>
    <row r="15" spans="1:3" x14ac:dyDescent="0.2">
      <c r="A15">
        <f t="shared" si="0"/>
        <v>14</v>
      </c>
      <c r="B15">
        <v>5</v>
      </c>
      <c r="C15">
        <v>92</v>
      </c>
    </row>
    <row r="16" spans="1:3" x14ac:dyDescent="0.2">
      <c r="A16">
        <f t="shared" si="0"/>
        <v>15</v>
      </c>
      <c r="B16">
        <v>5</v>
      </c>
      <c r="C16">
        <v>91</v>
      </c>
    </row>
    <row r="17" spans="1:3" x14ac:dyDescent="0.2">
      <c r="A17">
        <f t="shared" si="0"/>
        <v>16</v>
      </c>
      <c r="B17">
        <v>5</v>
      </c>
      <c r="C17">
        <v>80</v>
      </c>
    </row>
    <row r="18" spans="1:3" x14ac:dyDescent="0.2">
      <c r="A18">
        <f t="shared" si="0"/>
        <v>17</v>
      </c>
      <c r="B18">
        <v>5</v>
      </c>
      <c r="C18">
        <v>84</v>
      </c>
    </row>
    <row r="19" spans="1:3" x14ac:dyDescent="0.2">
      <c r="A19">
        <f t="shared" si="0"/>
        <v>18</v>
      </c>
      <c r="B19">
        <v>4</v>
      </c>
      <c r="C19">
        <v>91</v>
      </c>
    </row>
    <row r="20" spans="1:3" x14ac:dyDescent="0.2">
      <c r="A20">
        <f t="shared" si="0"/>
        <v>19</v>
      </c>
      <c r="B20">
        <v>3</v>
      </c>
      <c r="C20">
        <v>53</v>
      </c>
    </row>
    <row r="21" spans="1:3" x14ac:dyDescent="0.2">
      <c r="A21">
        <f t="shared" si="0"/>
        <v>20</v>
      </c>
      <c r="B21">
        <v>4</v>
      </c>
      <c r="C21">
        <v>87</v>
      </c>
    </row>
    <row r="22" spans="1:3" x14ac:dyDescent="0.2">
      <c r="A22">
        <f t="shared" si="0"/>
        <v>21</v>
      </c>
      <c r="B22">
        <v>3</v>
      </c>
      <c r="C22">
        <v>78</v>
      </c>
    </row>
    <row r="23" spans="1:3" x14ac:dyDescent="0.2">
      <c r="A23">
        <f t="shared" si="0"/>
        <v>22</v>
      </c>
      <c r="B23">
        <v>4</v>
      </c>
      <c r="C23">
        <v>69</v>
      </c>
    </row>
    <row r="24" spans="1:3" x14ac:dyDescent="0.2">
      <c r="A24">
        <f t="shared" si="0"/>
        <v>23</v>
      </c>
      <c r="B24">
        <v>4</v>
      </c>
      <c r="C24">
        <v>73</v>
      </c>
    </row>
    <row r="25" spans="1:3" x14ac:dyDescent="0.2">
      <c r="A25">
        <f t="shared" si="0"/>
        <v>24</v>
      </c>
      <c r="B25">
        <v>6</v>
      </c>
      <c r="C25">
        <v>94</v>
      </c>
    </row>
    <row r="26" spans="1:3" x14ac:dyDescent="0.2">
      <c r="A26">
        <f t="shared" si="0"/>
        <v>25</v>
      </c>
      <c r="B26">
        <v>10</v>
      </c>
      <c r="C26">
        <v>163</v>
      </c>
    </row>
    <row r="27" spans="1:3" x14ac:dyDescent="0.2">
      <c r="A27">
        <f t="shared" si="0"/>
        <v>26</v>
      </c>
      <c r="B27">
        <v>3</v>
      </c>
      <c r="C27">
        <v>58</v>
      </c>
    </row>
    <row r="28" spans="1:3" x14ac:dyDescent="0.2">
      <c r="A28">
        <f t="shared" si="0"/>
        <v>27</v>
      </c>
      <c r="B28">
        <v>4</v>
      </c>
      <c r="C28">
        <v>62</v>
      </c>
    </row>
    <row r="29" spans="1:3" x14ac:dyDescent="0.2">
      <c r="A29">
        <f t="shared" si="0"/>
        <v>28</v>
      </c>
      <c r="B29">
        <v>5</v>
      </c>
      <c r="C29">
        <v>121</v>
      </c>
    </row>
    <row r="30" spans="1:3" x14ac:dyDescent="0.2">
      <c r="A30">
        <f t="shared" si="0"/>
        <v>29</v>
      </c>
      <c r="B30">
        <v>4</v>
      </c>
      <c r="C30">
        <v>79</v>
      </c>
    </row>
    <row r="31" spans="1:3" x14ac:dyDescent="0.2">
      <c r="A31">
        <f t="shared" si="0"/>
        <v>30</v>
      </c>
      <c r="B31">
        <v>4</v>
      </c>
      <c r="C31">
        <v>98</v>
      </c>
    </row>
    <row r="32" spans="1:3" x14ac:dyDescent="0.2">
      <c r="A32">
        <f t="shared" si="0"/>
        <v>31</v>
      </c>
      <c r="B32">
        <v>2</v>
      </c>
      <c r="C32" s="13">
        <v>46</v>
      </c>
    </row>
    <row r="33" spans="1:3" x14ac:dyDescent="0.2">
      <c r="A33">
        <f t="shared" si="0"/>
        <v>32</v>
      </c>
      <c r="B33">
        <v>3</v>
      </c>
      <c r="C33">
        <v>70</v>
      </c>
    </row>
    <row r="34" spans="1:3" x14ac:dyDescent="0.2">
      <c r="A34">
        <f t="shared" si="0"/>
        <v>33</v>
      </c>
      <c r="B34">
        <v>3</v>
      </c>
      <c r="C34">
        <v>51</v>
      </c>
    </row>
    <row r="35" spans="1:3" x14ac:dyDescent="0.2">
      <c r="A35">
        <f t="shared" si="0"/>
        <v>34</v>
      </c>
      <c r="B35">
        <v>6</v>
      </c>
      <c r="C35">
        <v>78</v>
      </c>
    </row>
    <row r="36" spans="1:3" x14ac:dyDescent="0.2">
      <c r="A36">
        <f t="shared" si="0"/>
        <v>35</v>
      </c>
      <c r="B36">
        <v>4</v>
      </c>
      <c r="C36">
        <v>66</v>
      </c>
    </row>
    <row r="37" spans="1:3" x14ac:dyDescent="0.2">
      <c r="A37">
        <f t="shared" si="0"/>
        <v>36</v>
      </c>
      <c r="B37">
        <v>3</v>
      </c>
      <c r="C37">
        <v>47</v>
      </c>
    </row>
    <row r="38" spans="1:3" x14ac:dyDescent="0.2">
      <c r="A38">
        <f t="shared" si="0"/>
        <v>37</v>
      </c>
      <c r="B38">
        <v>4</v>
      </c>
      <c r="C38">
        <v>63</v>
      </c>
    </row>
    <row r="39" spans="1:3" x14ac:dyDescent="0.2">
      <c r="A39">
        <f t="shared" si="0"/>
        <v>38</v>
      </c>
      <c r="B39">
        <v>5</v>
      </c>
      <c r="C39">
        <v>161</v>
      </c>
    </row>
    <row r="40" spans="1:3" x14ac:dyDescent="0.2">
      <c r="A40">
        <f t="shared" si="0"/>
        <v>39</v>
      </c>
      <c r="B40">
        <v>3</v>
      </c>
      <c r="C40">
        <v>62</v>
      </c>
    </row>
    <row r="41" spans="1:3" x14ac:dyDescent="0.2">
      <c r="A41">
        <f t="shared" si="0"/>
        <v>40</v>
      </c>
      <c r="B41">
        <v>6</v>
      </c>
      <c r="C41">
        <v>80</v>
      </c>
    </row>
    <row r="42" spans="1:3" x14ac:dyDescent="0.2">
      <c r="A42">
        <f t="shared" si="0"/>
        <v>41</v>
      </c>
      <c r="B42">
        <v>5</v>
      </c>
      <c r="C42">
        <v>72</v>
      </c>
    </row>
    <row r="43" spans="1:3" x14ac:dyDescent="0.2">
      <c r="A43">
        <f t="shared" si="0"/>
        <v>42</v>
      </c>
      <c r="B43">
        <v>3</v>
      </c>
      <c r="C43">
        <v>68</v>
      </c>
    </row>
    <row r="44" spans="1:3" x14ac:dyDescent="0.2">
      <c r="A44">
        <f t="shared" si="0"/>
        <v>43</v>
      </c>
      <c r="B44">
        <v>5</v>
      </c>
      <c r="C44">
        <v>89</v>
      </c>
    </row>
    <row r="45" spans="1:3" x14ac:dyDescent="0.2">
      <c r="A45">
        <f t="shared" si="0"/>
        <v>44</v>
      </c>
      <c r="B45">
        <v>5</v>
      </c>
      <c r="C45">
        <v>71</v>
      </c>
    </row>
    <row r="46" spans="1:3" x14ac:dyDescent="0.2">
      <c r="A46">
        <f t="shared" si="0"/>
        <v>45</v>
      </c>
      <c r="B46">
        <v>5</v>
      </c>
      <c r="C46">
        <v>78</v>
      </c>
    </row>
    <row r="47" spans="1:3" x14ac:dyDescent="0.2">
      <c r="A47">
        <f t="shared" si="0"/>
        <v>46</v>
      </c>
      <c r="B47">
        <v>6</v>
      </c>
      <c r="C47">
        <v>117</v>
      </c>
    </row>
    <row r="48" spans="1:3" x14ac:dyDescent="0.2">
      <c r="A48">
        <f t="shared" si="0"/>
        <v>47</v>
      </c>
      <c r="B48" s="11">
        <v>5</v>
      </c>
      <c r="C48">
        <v>62</v>
      </c>
    </row>
    <row r="49" spans="1:3" x14ac:dyDescent="0.2">
      <c r="A49">
        <f t="shared" si="0"/>
        <v>48</v>
      </c>
      <c r="B49" s="11">
        <v>1</v>
      </c>
      <c r="C49">
        <v>24</v>
      </c>
    </row>
    <row r="50" spans="1:3" x14ac:dyDescent="0.2">
      <c r="A50">
        <f t="shared" si="0"/>
        <v>49</v>
      </c>
      <c r="B50" s="11">
        <v>4</v>
      </c>
      <c r="C50">
        <v>76</v>
      </c>
    </row>
    <row r="51" spans="1:3" x14ac:dyDescent="0.2">
      <c r="A51">
        <f t="shared" si="0"/>
        <v>50</v>
      </c>
      <c r="B51" s="11">
        <v>4</v>
      </c>
      <c r="C51">
        <v>60</v>
      </c>
    </row>
    <row r="52" spans="1:3" x14ac:dyDescent="0.2">
      <c r="A52">
        <f t="shared" si="0"/>
        <v>51</v>
      </c>
      <c r="B52" s="11">
        <v>4</v>
      </c>
      <c r="C52">
        <v>66</v>
      </c>
    </row>
    <row r="53" spans="1:3" x14ac:dyDescent="0.2">
      <c r="A53">
        <f t="shared" si="0"/>
        <v>52</v>
      </c>
      <c r="B53" s="11">
        <v>3</v>
      </c>
      <c r="C53">
        <v>59</v>
      </c>
    </row>
    <row r="54" spans="1:3" x14ac:dyDescent="0.2">
      <c r="A54">
        <f t="shared" si="0"/>
        <v>53</v>
      </c>
      <c r="B54" s="11">
        <v>4</v>
      </c>
      <c r="C54">
        <v>76</v>
      </c>
    </row>
    <row r="55" spans="1:3" x14ac:dyDescent="0.2">
      <c r="A55">
        <f t="shared" si="0"/>
        <v>54</v>
      </c>
      <c r="B55" s="11">
        <v>5</v>
      </c>
      <c r="C55">
        <v>95</v>
      </c>
    </row>
    <row r="56" spans="1:3" x14ac:dyDescent="0.2">
      <c r="A56">
        <f t="shared" si="0"/>
        <v>55</v>
      </c>
      <c r="B56" s="11">
        <v>3</v>
      </c>
      <c r="C56">
        <v>77</v>
      </c>
    </row>
    <row r="57" spans="1:3" x14ac:dyDescent="0.2">
      <c r="A57">
        <f t="shared" si="0"/>
        <v>56</v>
      </c>
      <c r="B57" s="11">
        <v>4</v>
      </c>
      <c r="C57">
        <v>138</v>
      </c>
    </row>
    <row r="58" spans="1:3" x14ac:dyDescent="0.2">
      <c r="A58">
        <f t="shared" si="0"/>
        <v>57</v>
      </c>
      <c r="B58" s="11">
        <v>4</v>
      </c>
      <c r="C58">
        <v>67</v>
      </c>
    </row>
    <row r="59" spans="1:3" x14ac:dyDescent="0.2">
      <c r="A59">
        <f t="shared" si="0"/>
        <v>58</v>
      </c>
      <c r="B59" s="11">
        <v>2</v>
      </c>
      <c r="C59">
        <v>55</v>
      </c>
    </row>
    <row r="60" spans="1:3" x14ac:dyDescent="0.2">
      <c r="A60">
        <f t="shared" si="0"/>
        <v>59</v>
      </c>
      <c r="B60" s="11">
        <v>5</v>
      </c>
      <c r="C60">
        <v>79</v>
      </c>
    </row>
    <row r="61" spans="1:3" x14ac:dyDescent="0.2">
      <c r="A61">
        <f t="shared" si="0"/>
        <v>60</v>
      </c>
      <c r="B61" s="11">
        <v>4</v>
      </c>
      <c r="C61">
        <v>82</v>
      </c>
    </row>
    <row r="62" spans="1:3" x14ac:dyDescent="0.2">
      <c r="A62">
        <f t="shared" si="0"/>
        <v>61</v>
      </c>
      <c r="B62" s="11">
        <v>4</v>
      </c>
      <c r="C62">
        <v>47</v>
      </c>
    </row>
    <row r="63" spans="1:3" x14ac:dyDescent="0.2">
      <c r="A63">
        <f t="shared" si="0"/>
        <v>62</v>
      </c>
      <c r="B63" s="11">
        <v>3</v>
      </c>
      <c r="C63">
        <v>63</v>
      </c>
    </row>
    <row r="64" spans="1:3" x14ac:dyDescent="0.2">
      <c r="A64">
        <f t="shared" si="0"/>
        <v>63</v>
      </c>
      <c r="B64" s="11">
        <v>5</v>
      </c>
      <c r="C64">
        <v>84</v>
      </c>
    </row>
    <row r="65" spans="1:3" x14ac:dyDescent="0.2">
      <c r="A65">
        <f t="shared" si="0"/>
        <v>64</v>
      </c>
      <c r="B65" s="11">
        <v>3</v>
      </c>
      <c r="C65">
        <v>34</v>
      </c>
    </row>
    <row r="66" spans="1:3" x14ac:dyDescent="0.2">
      <c r="A66">
        <f t="shared" si="0"/>
        <v>65</v>
      </c>
      <c r="B66" s="11">
        <v>4</v>
      </c>
      <c r="C66">
        <v>68</v>
      </c>
    </row>
    <row r="67" spans="1:3" x14ac:dyDescent="0.2">
      <c r="A67">
        <f t="shared" si="0"/>
        <v>66</v>
      </c>
      <c r="B67" s="11">
        <v>4</v>
      </c>
      <c r="C67">
        <v>71</v>
      </c>
    </row>
    <row r="68" spans="1:3" x14ac:dyDescent="0.2">
      <c r="A68">
        <f t="shared" ref="A68:A81" si="1">A67+1</f>
        <v>67</v>
      </c>
      <c r="B68" s="11">
        <v>3</v>
      </c>
      <c r="C68">
        <v>59</v>
      </c>
    </row>
    <row r="69" spans="1:3" x14ac:dyDescent="0.2">
      <c r="A69">
        <f t="shared" si="1"/>
        <v>68</v>
      </c>
      <c r="B69" s="11">
        <v>6</v>
      </c>
      <c r="C69">
        <v>90</v>
      </c>
    </row>
    <row r="70" spans="1:3" x14ac:dyDescent="0.2">
      <c r="A70">
        <f t="shared" si="1"/>
        <v>69</v>
      </c>
      <c r="B70" s="11">
        <v>4</v>
      </c>
      <c r="C70">
        <v>65</v>
      </c>
    </row>
    <row r="71" spans="1:3" x14ac:dyDescent="0.2">
      <c r="A71">
        <f t="shared" si="1"/>
        <v>70</v>
      </c>
      <c r="B71" s="11">
        <v>4</v>
      </c>
      <c r="C71">
        <v>67</v>
      </c>
    </row>
    <row r="72" spans="1:3" x14ac:dyDescent="0.2">
      <c r="A72">
        <f t="shared" si="1"/>
        <v>71</v>
      </c>
      <c r="B72" s="11">
        <v>4</v>
      </c>
      <c r="C72">
        <v>71</v>
      </c>
    </row>
    <row r="73" spans="1:3" x14ac:dyDescent="0.2">
      <c r="A73">
        <f t="shared" si="1"/>
        <v>72</v>
      </c>
      <c r="B73" s="11">
        <v>4</v>
      </c>
      <c r="C73">
        <v>66</v>
      </c>
    </row>
    <row r="74" spans="1:3" x14ac:dyDescent="0.2">
      <c r="A74">
        <f t="shared" si="1"/>
        <v>73</v>
      </c>
      <c r="B74" s="11">
        <v>4</v>
      </c>
      <c r="C74">
        <v>72</v>
      </c>
    </row>
    <row r="75" spans="1:3" x14ac:dyDescent="0.2">
      <c r="A75">
        <f t="shared" si="1"/>
        <v>74</v>
      </c>
      <c r="B75" s="11">
        <v>5</v>
      </c>
      <c r="C75">
        <v>94</v>
      </c>
    </row>
    <row r="76" spans="1:3" x14ac:dyDescent="0.2">
      <c r="A76">
        <f t="shared" si="1"/>
        <v>75</v>
      </c>
      <c r="B76" s="11">
        <v>6</v>
      </c>
      <c r="C76">
        <v>104</v>
      </c>
    </row>
    <row r="77" spans="1:3" x14ac:dyDescent="0.2">
      <c r="A77">
        <f t="shared" si="1"/>
        <v>76</v>
      </c>
      <c r="B77" s="11">
        <v>5</v>
      </c>
      <c r="C77">
        <v>88</v>
      </c>
    </row>
    <row r="78" spans="1:3" x14ac:dyDescent="0.2">
      <c r="A78">
        <f t="shared" si="1"/>
        <v>77</v>
      </c>
      <c r="B78" s="11">
        <v>9</v>
      </c>
      <c r="C78">
        <v>133</v>
      </c>
    </row>
    <row r="79" spans="1:3" x14ac:dyDescent="0.2">
      <c r="A79">
        <f t="shared" si="1"/>
        <v>78</v>
      </c>
      <c r="B79" s="11">
        <v>7</v>
      </c>
      <c r="C79">
        <v>92</v>
      </c>
    </row>
    <row r="80" spans="1:3" x14ac:dyDescent="0.2">
      <c r="A80">
        <f t="shared" si="1"/>
        <v>79</v>
      </c>
      <c r="B80" s="11">
        <v>2</v>
      </c>
      <c r="C80">
        <v>32</v>
      </c>
    </row>
    <row r="81" spans="1:3" x14ac:dyDescent="0.2">
      <c r="A81">
        <f t="shared" si="1"/>
        <v>80</v>
      </c>
      <c r="B81" s="11">
        <v>7</v>
      </c>
      <c r="C81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opLeftCell="A27" workbookViewId="0">
      <selection activeCell="E44" sqref="E44"/>
    </sheetView>
  </sheetViews>
  <sheetFormatPr baseColWidth="10" defaultRowHeight="12.75" x14ac:dyDescent="0.2"/>
  <sheetData>
    <row r="1" spans="1:3" x14ac:dyDescent="0.2">
      <c r="A1" s="12" t="s">
        <v>14</v>
      </c>
      <c r="B1" s="12" t="s">
        <v>0</v>
      </c>
      <c r="C1" s="12" t="s">
        <v>1</v>
      </c>
    </row>
    <row r="2" spans="1:3" x14ac:dyDescent="0.2">
      <c r="A2">
        <v>1</v>
      </c>
      <c r="B2">
        <v>5</v>
      </c>
      <c r="C2">
        <v>73</v>
      </c>
    </row>
    <row r="3" spans="1:3" x14ac:dyDescent="0.2">
      <c r="A3">
        <f>A2+1</f>
        <v>2</v>
      </c>
      <c r="B3">
        <v>4</v>
      </c>
      <c r="C3">
        <v>75</v>
      </c>
    </row>
    <row r="4" spans="1:3" x14ac:dyDescent="0.2">
      <c r="A4">
        <f t="shared" ref="A4:A67" si="0">A3+1</f>
        <v>3</v>
      </c>
      <c r="B4">
        <v>3</v>
      </c>
      <c r="C4">
        <v>66</v>
      </c>
    </row>
    <row r="5" spans="1:3" x14ac:dyDescent="0.2">
      <c r="A5">
        <f t="shared" si="0"/>
        <v>4</v>
      </c>
      <c r="B5">
        <v>4</v>
      </c>
      <c r="C5">
        <v>51</v>
      </c>
    </row>
    <row r="6" spans="1:3" x14ac:dyDescent="0.2">
      <c r="A6">
        <f t="shared" si="0"/>
        <v>5</v>
      </c>
      <c r="B6">
        <v>3</v>
      </c>
      <c r="C6">
        <v>58</v>
      </c>
    </row>
    <row r="7" spans="1:3" x14ac:dyDescent="0.2">
      <c r="A7">
        <f t="shared" si="0"/>
        <v>6</v>
      </c>
      <c r="B7">
        <v>4</v>
      </c>
      <c r="C7">
        <v>62</v>
      </c>
    </row>
    <row r="8" spans="1:3" x14ac:dyDescent="0.2">
      <c r="A8">
        <f t="shared" si="0"/>
        <v>7</v>
      </c>
      <c r="B8">
        <v>3</v>
      </c>
      <c r="C8">
        <v>93</v>
      </c>
    </row>
    <row r="9" spans="1:3" x14ac:dyDescent="0.2">
      <c r="A9">
        <f t="shared" si="0"/>
        <v>8</v>
      </c>
      <c r="B9">
        <v>5</v>
      </c>
      <c r="C9">
        <v>110</v>
      </c>
    </row>
    <row r="10" spans="1:3" x14ac:dyDescent="0.2">
      <c r="A10">
        <f t="shared" si="0"/>
        <v>9</v>
      </c>
      <c r="B10">
        <v>4</v>
      </c>
      <c r="C10">
        <v>84</v>
      </c>
    </row>
    <row r="11" spans="1:3" x14ac:dyDescent="0.2">
      <c r="A11">
        <f t="shared" si="0"/>
        <v>10</v>
      </c>
      <c r="B11">
        <v>4</v>
      </c>
      <c r="C11">
        <v>64</v>
      </c>
    </row>
    <row r="12" spans="1:3" x14ac:dyDescent="0.2">
      <c r="A12">
        <f t="shared" si="0"/>
        <v>11</v>
      </c>
      <c r="B12">
        <v>4</v>
      </c>
      <c r="C12">
        <v>61</v>
      </c>
    </row>
    <row r="13" spans="1:3" x14ac:dyDescent="0.2">
      <c r="A13">
        <f t="shared" si="0"/>
        <v>12</v>
      </c>
      <c r="B13">
        <v>4</v>
      </c>
      <c r="C13">
        <v>68</v>
      </c>
    </row>
    <row r="14" spans="1:3" x14ac:dyDescent="0.2">
      <c r="A14">
        <f t="shared" si="0"/>
        <v>13</v>
      </c>
      <c r="B14">
        <v>5</v>
      </c>
      <c r="C14">
        <v>66</v>
      </c>
    </row>
    <row r="15" spans="1:3" x14ac:dyDescent="0.2">
      <c r="A15">
        <f t="shared" si="0"/>
        <v>14</v>
      </c>
      <c r="B15">
        <v>5</v>
      </c>
      <c r="C15">
        <v>92</v>
      </c>
    </row>
    <row r="16" spans="1:3" x14ac:dyDescent="0.2">
      <c r="A16">
        <f t="shared" si="0"/>
        <v>15</v>
      </c>
      <c r="B16">
        <v>5</v>
      </c>
      <c r="C16">
        <v>91</v>
      </c>
    </row>
    <row r="17" spans="1:3" x14ac:dyDescent="0.2">
      <c r="A17">
        <f t="shared" si="0"/>
        <v>16</v>
      </c>
      <c r="B17">
        <v>5</v>
      </c>
      <c r="C17">
        <v>80</v>
      </c>
    </row>
    <row r="18" spans="1:3" x14ac:dyDescent="0.2">
      <c r="A18">
        <f t="shared" si="0"/>
        <v>17</v>
      </c>
      <c r="B18">
        <v>5</v>
      </c>
      <c r="C18">
        <v>84</v>
      </c>
    </row>
    <row r="19" spans="1:3" x14ac:dyDescent="0.2">
      <c r="A19">
        <f t="shared" si="0"/>
        <v>18</v>
      </c>
      <c r="B19">
        <v>4</v>
      </c>
      <c r="C19">
        <v>91</v>
      </c>
    </row>
    <row r="20" spans="1:3" x14ac:dyDescent="0.2">
      <c r="A20">
        <f t="shared" si="0"/>
        <v>19</v>
      </c>
      <c r="B20">
        <v>3</v>
      </c>
      <c r="C20">
        <v>53</v>
      </c>
    </row>
    <row r="21" spans="1:3" x14ac:dyDescent="0.2">
      <c r="A21">
        <f t="shared" si="0"/>
        <v>20</v>
      </c>
      <c r="B21">
        <v>4</v>
      </c>
      <c r="C21">
        <v>87</v>
      </c>
    </row>
    <row r="22" spans="1:3" x14ac:dyDescent="0.2">
      <c r="A22">
        <f t="shared" si="0"/>
        <v>21</v>
      </c>
      <c r="B22">
        <v>3</v>
      </c>
      <c r="C22">
        <v>78</v>
      </c>
    </row>
    <row r="23" spans="1:3" x14ac:dyDescent="0.2">
      <c r="A23">
        <f t="shared" si="0"/>
        <v>22</v>
      </c>
      <c r="B23">
        <v>4</v>
      </c>
      <c r="C23">
        <v>69</v>
      </c>
    </row>
    <row r="24" spans="1:3" x14ac:dyDescent="0.2">
      <c r="A24">
        <f t="shared" si="0"/>
        <v>23</v>
      </c>
      <c r="B24">
        <v>4</v>
      </c>
      <c r="C24">
        <v>73</v>
      </c>
    </row>
    <row r="25" spans="1:3" x14ac:dyDescent="0.2">
      <c r="A25">
        <f t="shared" si="0"/>
        <v>24</v>
      </c>
      <c r="B25">
        <v>6</v>
      </c>
      <c r="C25">
        <v>94</v>
      </c>
    </row>
    <row r="26" spans="1:3" x14ac:dyDescent="0.2">
      <c r="A26">
        <f t="shared" si="0"/>
        <v>25</v>
      </c>
      <c r="B26">
        <v>10</v>
      </c>
      <c r="C26">
        <v>163</v>
      </c>
    </row>
    <row r="27" spans="1:3" x14ac:dyDescent="0.2">
      <c r="A27">
        <f t="shared" si="0"/>
        <v>26</v>
      </c>
      <c r="B27">
        <v>3</v>
      </c>
      <c r="C27">
        <v>58</v>
      </c>
    </row>
    <row r="28" spans="1:3" x14ac:dyDescent="0.2">
      <c r="A28">
        <f t="shared" si="0"/>
        <v>27</v>
      </c>
      <c r="B28">
        <v>4</v>
      </c>
      <c r="C28">
        <v>62</v>
      </c>
    </row>
    <row r="29" spans="1:3" x14ac:dyDescent="0.2">
      <c r="A29">
        <f t="shared" si="0"/>
        <v>28</v>
      </c>
      <c r="B29">
        <v>5</v>
      </c>
      <c r="C29">
        <v>121</v>
      </c>
    </row>
    <row r="30" spans="1:3" x14ac:dyDescent="0.2">
      <c r="A30">
        <f t="shared" si="0"/>
        <v>29</v>
      </c>
      <c r="B30">
        <v>4</v>
      </c>
      <c r="C30">
        <v>79</v>
      </c>
    </row>
    <row r="31" spans="1:3" x14ac:dyDescent="0.2">
      <c r="A31">
        <f t="shared" si="0"/>
        <v>30</v>
      </c>
      <c r="B31">
        <v>4</v>
      </c>
      <c r="C31">
        <v>98</v>
      </c>
    </row>
    <row r="32" spans="1:3" x14ac:dyDescent="0.2">
      <c r="A32">
        <f t="shared" si="0"/>
        <v>31</v>
      </c>
      <c r="B32">
        <v>2</v>
      </c>
      <c r="C32" s="13">
        <v>46</v>
      </c>
    </row>
    <row r="33" spans="1:5" x14ac:dyDescent="0.2">
      <c r="A33">
        <f t="shared" si="0"/>
        <v>32</v>
      </c>
      <c r="B33">
        <v>3</v>
      </c>
      <c r="C33">
        <v>70</v>
      </c>
    </row>
    <row r="34" spans="1:5" x14ac:dyDescent="0.2">
      <c r="A34">
        <f t="shared" si="0"/>
        <v>33</v>
      </c>
      <c r="B34">
        <v>3</v>
      </c>
      <c r="C34">
        <v>51</v>
      </c>
    </row>
    <row r="35" spans="1:5" x14ac:dyDescent="0.2">
      <c r="A35">
        <f t="shared" si="0"/>
        <v>34</v>
      </c>
      <c r="B35">
        <v>6</v>
      </c>
      <c r="C35">
        <v>78</v>
      </c>
    </row>
    <row r="36" spans="1:5" x14ac:dyDescent="0.2">
      <c r="A36">
        <f t="shared" si="0"/>
        <v>35</v>
      </c>
      <c r="B36">
        <v>4</v>
      </c>
      <c r="C36">
        <v>66</v>
      </c>
    </row>
    <row r="37" spans="1:5" x14ac:dyDescent="0.2">
      <c r="A37">
        <f t="shared" si="0"/>
        <v>36</v>
      </c>
      <c r="B37">
        <v>3</v>
      </c>
      <c r="C37">
        <v>47</v>
      </c>
    </row>
    <row r="38" spans="1:5" x14ac:dyDescent="0.2">
      <c r="A38">
        <f t="shared" si="0"/>
        <v>37</v>
      </c>
      <c r="B38">
        <v>4</v>
      </c>
      <c r="C38">
        <v>63</v>
      </c>
    </row>
    <row r="39" spans="1:5" x14ac:dyDescent="0.2">
      <c r="A39">
        <f t="shared" si="0"/>
        <v>38</v>
      </c>
      <c r="B39">
        <v>5</v>
      </c>
      <c r="C39">
        <v>161</v>
      </c>
    </row>
    <row r="40" spans="1:5" x14ac:dyDescent="0.2">
      <c r="A40">
        <f t="shared" si="0"/>
        <v>39</v>
      </c>
      <c r="B40">
        <v>3</v>
      </c>
      <c r="C40">
        <v>62</v>
      </c>
    </row>
    <row r="41" spans="1:5" x14ac:dyDescent="0.2">
      <c r="A41">
        <f t="shared" si="0"/>
        <v>40</v>
      </c>
      <c r="B41">
        <v>6</v>
      </c>
      <c r="C41">
        <v>80</v>
      </c>
    </row>
    <row r="42" spans="1:5" x14ac:dyDescent="0.2">
      <c r="A42">
        <f t="shared" si="0"/>
        <v>41</v>
      </c>
      <c r="B42">
        <v>5</v>
      </c>
      <c r="C42">
        <v>72</v>
      </c>
      <c r="E42" t="s">
        <v>33</v>
      </c>
    </row>
    <row r="43" spans="1:5" x14ac:dyDescent="0.2">
      <c r="A43">
        <f t="shared" si="0"/>
        <v>42</v>
      </c>
      <c r="B43">
        <v>3</v>
      </c>
      <c r="C43">
        <v>68</v>
      </c>
      <c r="E43" t="s">
        <v>34</v>
      </c>
    </row>
    <row r="44" spans="1:5" x14ac:dyDescent="0.2">
      <c r="A44">
        <f t="shared" si="0"/>
        <v>43</v>
      </c>
      <c r="B44">
        <v>5</v>
      </c>
      <c r="C44">
        <v>89</v>
      </c>
    </row>
    <row r="45" spans="1:5" x14ac:dyDescent="0.2">
      <c r="A45">
        <f t="shared" si="0"/>
        <v>44</v>
      </c>
      <c r="B45">
        <v>5</v>
      </c>
      <c r="C45">
        <v>71</v>
      </c>
    </row>
    <row r="46" spans="1:5" x14ac:dyDescent="0.2">
      <c r="A46">
        <f t="shared" si="0"/>
        <v>45</v>
      </c>
      <c r="B46">
        <v>5</v>
      </c>
      <c r="C46">
        <v>78</v>
      </c>
    </row>
    <row r="47" spans="1:5" x14ac:dyDescent="0.2">
      <c r="A47">
        <f t="shared" si="0"/>
        <v>46</v>
      </c>
      <c r="B47">
        <v>6</v>
      </c>
      <c r="C47">
        <v>117</v>
      </c>
    </row>
    <row r="48" spans="1:5" x14ac:dyDescent="0.2">
      <c r="A48">
        <f t="shared" si="0"/>
        <v>47</v>
      </c>
      <c r="B48" s="11">
        <v>5</v>
      </c>
      <c r="C48">
        <v>62</v>
      </c>
    </row>
    <row r="49" spans="1:3" x14ac:dyDescent="0.2">
      <c r="A49">
        <f t="shared" si="0"/>
        <v>48</v>
      </c>
      <c r="B49" s="11">
        <v>1</v>
      </c>
      <c r="C49">
        <v>24</v>
      </c>
    </row>
    <row r="50" spans="1:3" x14ac:dyDescent="0.2">
      <c r="A50">
        <f t="shared" si="0"/>
        <v>49</v>
      </c>
      <c r="B50" s="11">
        <v>4</v>
      </c>
      <c r="C50">
        <v>76</v>
      </c>
    </row>
    <row r="51" spans="1:3" x14ac:dyDescent="0.2">
      <c r="A51">
        <f t="shared" si="0"/>
        <v>50</v>
      </c>
      <c r="B51" s="11">
        <v>4</v>
      </c>
      <c r="C51">
        <v>60</v>
      </c>
    </row>
    <row r="52" spans="1:3" x14ac:dyDescent="0.2">
      <c r="A52">
        <f t="shared" si="0"/>
        <v>51</v>
      </c>
      <c r="B52" s="11">
        <v>4</v>
      </c>
      <c r="C52">
        <v>66</v>
      </c>
    </row>
    <row r="53" spans="1:3" x14ac:dyDescent="0.2">
      <c r="A53">
        <f t="shared" si="0"/>
        <v>52</v>
      </c>
      <c r="B53" s="11">
        <v>3</v>
      </c>
      <c r="C53">
        <v>59</v>
      </c>
    </row>
    <row r="54" spans="1:3" x14ac:dyDescent="0.2">
      <c r="A54">
        <f t="shared" si="0"/>
        <v>53</v>
      </c>
      <c r="B54" s="11">
        <v>4</v>
      </c>
      <c r="C54">
        <v>76</v>
      </c>
    </row>
    <row r="55" spans="1:3" x14ac:dyDescent="0.2">
      <c r="A55">
        <f t="shared" si="0"/>
        <v>54</v>
      </c>
      <c r="B55" s="11">
        <v>5</v>
      </c>
      <c r="C55">
        <v>95</v>
      </c>
    </row>
    <row r="56" spans="1:3" x14ac:dyDescent="0.2">
      <c r="A56">
        <f t="shared" si="0"/>
        <v>55</v>
      </c>
      <c r="B56" s="11">
        <v>3</v>
      </c>
      <c r="C56">
        <v>77</v>
      </c>
    </row>
    <row r="57" spans="1:3" x14ac:dyDescent="0.2">
      <c r="A57">
        <f t="shared" si="0"/>
        <v>56</v>
      </c>
      <c r="B57" s="11">
        <v>4</v>
      </c>
      <c r="C57">
        <v>138</v>
      </c>
    </row>
    <row r="58" spans="1:3" x14ac:dyDescent="0.2">
      <c r="A58">
        <f t="shared" si="0"/>
        <v>57</v>
      </c>
      <c r="B58" s="11">
        <v>4</v>
      </c>
      <c r="C58">
        <v>67</v>
      </c>
    </row>
    <row r="59" spans="1:3" x14ac:dyDescent="0.2">
      <c r="A59">
        <f t="shared" si="0"/>
        <v>58</v>
      </c>
      <c r="B59" s="11">
        <v>2</v>
      </c>
      <c r="C59">
        <v>55</v>
      </c>
    </row>
    <row r="60" spans="1:3" x14ac:dyDescent="0.2">
      <c r="A60">
        <f t="shared" si="0"/>
        <v>59</v>
      </c>
      <c r="B60" s="11">
        <v>5</v>
      </c>
      <c r="C60">
        <v>79</v>
      </c>
    </row>
    <row r="61" spans="1:3" x14ac:dyDescent="0.2">
      <c r="A61">
        <f t="shared" si="0"/>
        <v>60</v>
      </c>
      <c r="B61" s="11">
        <v>4</v>
      </c>
      <c r="C61">
        <v>82</v>
      </c>
    </row>
    <row r="62" spans="1:3" x14ac:dyDescent="0.2">
      <c r="A62">
        <f t="shared" si="0"/>
        <v>61</v>
      </c>
      <c r="B62" s="11">
        <v>4</v>
      </c>
      <c r="C62">
        <v>47</v>
      </c>
    </row>
    <row r="63" spans="1:3" x14ac:dyDescent="0.2">
      <c r="A63">
        <f t="shared" si="0"/>
        <v>62</v>
      </c>
      <c r="B63" s="11">
        <v>3</v>
      </c>
      <c r="C63">
        <v>63</v>
      </c>
    </row>
    <row r="64" spans="1:3" x14ac:dyDescent="0.2">
      <c r="A64">
        <f t="shared" si="0"/>
        <v>63</v>
      </c>
      <c r="B64" s="11">
        <v>5</v>
      </c>
      <c r="C64">
        <v>84</v>
      </c>
    </row>
    <row r="65" spans="1:3" x14ac:dyDescent="0.2">
      <c r="A65">
        <f t="shared" si="0"/>
        <v>64</v>
      </c>
      <c r="B65" s="11">
        <v>3</v>
      </c>
      <c r="C65">
        <v>34</v>
      </c>
    </row>
    <row r="66" spans="1:3" x14ac:dyDescent="0.2">
      <c r="A66">
        <f t="shared" si="0"/>
        <v>65</v>
      </c>
      <c r="B66" s="11">
        <v>4</v>
      </c>
      <c r="C66">
        <v>68</v>
      </c>
    </row>
    <row r="67" spans="1:3" x14ac:dyDescent="0.2">
      <c r="A67">
        <f t="shared" si="0"/>
        <v>66</v>
      </c>
      <c r="B67" s="11">
        <v>4</v>
      </c>
      <c r="C67">
        <v>71</v>
      </c>
    </row>
    <row r="68" spans="1:3" x14ac:dyDescent="0.2">
      <c r="A68">
        <f t="shared" ref="A68:A81" si="1">A67+1</f>
        <v>67</v>
      </c>
      <c r="B68" s="11">
        <v>3</v>
      </c>
      <c r="C68">
        <v>59</v>
      </c>
    </row>
    <row r="69" spans="1:3" x14ac:dyDescent="0.2">
      <c r="A69">
        <f t="shared" si="1"/>
        <v>68</v>
      </c>
      <c r="B69" s="11">
        <v>6</v>
      </c>
      <c r="C69">
        <v>90</v>
      </c>
    </row>
    <row r="70" spans="1:3" x14ac:dyDescent="0.2">
      <c r="A70">
        <f t="shared" si="1"/>
        <v>69</v>
      </c>
      <c r="B70" s="11">
        <v>4</v>
      </c>
      <c r="C70">
        <v>65</v>
      </c>
    </row>
    <row r="71" spans="1:3" x14ac:dyDescent="0.2">
      <c r="A71">
        <f t="shared" si="1"/>
        <v>70</v>
      </c>
      <c r="B71" s="11">
        <v>4</v>
      </c>
      <c r="C71">
        <v>67</v>
      </c>
    </row>
    <row r="72" spans="1:3" x14ac:dyDescent="0.2">
      <c r="A72">
        <f t="shared" si="1"/>
        <v>71</v>
      </c>
      <c r="B72" s="11">
        <v>4</v>
      </c>
      <c r="C72">
        <v>71</v>
      </c>
    </row>
    <row r="73" spans="1:3" x14ac:dyDescent="0.2">
      <c r="A73">
        <f t="shared" si="1"/>
        <v>72</v>
      </c>
      <c r="B73" s="11">
        <v>4</v>
      </c>
      <c r="C73">
        <v>66</v>
      </c>
    </row>
    <row r="74" spans="1:3" x14ac:dyDescent="0.2">
      <c r="A74">
        <f t="shared" si="1"/>
        <v>73</v>
      </c>
      <c r="B74" s="11">
        <v>4</v>
      </c>
      <c r="C74">
        <v>72</v>
      </c>
    </row>
    <row r="75" spans="1:3" x14ac:dyDescent="0.2">
      <c r="A75">
        <f t="shared" si="1"/>
        <v>74</v>
      </c>
      <c r="B75" s="11">
        <v>5</v>
      </c>
      <c r="C75">
        <v>94</v>
      </c>
    </row>
    <row r="76" spans="1:3" x14ac:dyDescent="0.2">
      <c r="A76">
        <f t="shared" si="1"/>
        <v>75</v>
      </c>
      <c r="B76" s="11">
        <v>6</v>
      </c>
      <c r="C76">
        <v>104</v>
      </c>
    </row>
    <row r="77" spans="1:3" x14ac:dyDescent="0.2">
      <c r="A77">
        <f t="shared" si="1"/>
        <v>76</v>
      </c>
      <c r="B77" s="11">
        <v>5</v>
      </c>
      <c r="C77">
        <v>88</v>
      </c>
    </row>
    <row r="78" spans="1:3" x14ac:dyDescent="0.2">
      <c r="A78">
        <f t="shared" si="1"/>
        <v>77</v>
      </c>
      <c r="B78" s="11">
        <v>9</v>
      </c>
      <c r="C78">
        <v>133</v>
      </c>
    </row>
    <row r="79" spans="1:3" x14ac:dyDescent="0.2">
      <c r="A79">
        <f t="shared" si="1"/>
        <v>78</v>
      </c>
      <c r="B79" s="11">
        <v>7</v>
      </c>
      <c r="C79">
        <v>92</v>
      </c>
    </row>
    <row r="80" spans="1:3" x14ac:dyDescent="0.2">
      <c r="A80">
        <f t="shared" si="1"/>
        <v>79</v>
      </c>
      <c r="B80" s="11">
        <v>2</v>
      </c>
      <c r="C80">
        <v>32</v>
      </c>
    </row>
    <row r="81" spans="1:3" x14ac:dyDescent="0.2">
      <c r="A81">
        <f t="shared" si="1"/>
        <v>80</v>
      </c>
      <c r="B81" s="11">
        <v>7</v>
      </c>
      <c r="C81">
        <v>112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"/>
  <sheetViews>
    <sheetView workbookViewId="0">
      <selection activeCell="K5" sqref="A4:K5"/>
    </sheetView>
  </sheetViews>
  <sheetFormatPr baseColWidth="10" defaultRowHeight="12.75" x14ac:dyDescent="0.2"/>
  <cols>
    <col min="1" max="1" width="13.625" bestFit="1" customWidth="1"/>
    <col min="2" max="2" width="24.125" customWidth="1"/>
    <col min="3" max="3" width="2.25" customWidth="1"/>
    <col min="4" max="6" width="3.375" customWidth="1"/>
    <col min="7" max="9" width="2.25" customWidth="1"/>
    <col min="10" max="10" width="3.375" customWidth="1"/>
    <col min="11" max="11" width="13" customWidth="1"/>
    <col min="12" max="21" width="3.375" customWidth="1"/>
    <col min="22" max="22" width="7.25" customWidth="1"/>
    <col min="23" max="23" width="4.25" customWidth="1"/>
    <col min="24" max="45" width="3.375" customWidth="1"/>
    <col min="46" max="46" width="4.5" customWidth="1"/>
    <col min="47" max="47" width="7.25" customWidth="1"/>
    <col min="48" max="48" width="4.25" customWidth="1"/>
    <col min="49" max="62" width="3.375" customWidth="1"/>
    <col min="63" max="65" width="4.5" customWidth="1"/>
    <col min="66" max="66" width="7.25" customWidth="1"/>
    <col min="67" max="67" width="4.25" customWidth="1"/>
    <col min="68" max="70" width="3.375" customWidth="1"/>
    <col min="71" max="72" width="4.5" customWidth="1"/>
    <col min="73" max="73" width="7.25" customWidth="1"/>
    <col min="74" max="74" width="4.25" customWidth="1"/>
    <col min="75" max="75" width="4.5" customWidth="1"/>
    <col min="76" max="76" width="7.25" customWidth="1"/>
    <col min="77" max="77" width="4.5" customWidth="1"/>
    <col min="78" max="78" width="7.25" customWidth="1"/>
    <col min="79" max="79" width="5.375" customWidth="1"/>
    <col min="80" max="80" width="8.375" customWidth="1"/>
    <col min="81" max="81" width="13" customWidth="1"/>
    <col min="82" max="82" width="5.375" customWidth="1"/>
    <col min="83" max="83" width="8.375" customWidth="1"/>
    <col min="84" max="84" width="5.375" customWidth="1"/>
    <col min="85" max="85" width="8.375" customWidth="1"/>
    <col min="86" max="86" width="5.375" customWidth="1"/>
    <col min="87" max="87" width="8.375" customWidth="1"/>
    <col min="88" max="88" width="5.375" customWidth="1"/>
    <col min="89" max="89" width="8.375" customWidth="1"/>
    <col min="90" max="90" width="5.375" customWidth="1"/>
    <col min="91" max="91" width="3.375" customWidth="1"/>
    <col min="92" max="92" width="8.375" customWidth="1"/>
    <col min="93" max="93" width="5.375" customWidth="1"/>
    <col min="94" max="94" width="3.375" customWidth="1"/>
    <col min="95" max="95" width="8.375" customWidth="1"/>
    <col min="96" max="96" width="5.375" customWidth="1"/>
    <col min="97" max="97" width="8.375" customWidth="1"/>
    <col min="98" max="98" width="5.375" customWidth="1"/>
    <col min="99" max="99" width="3.375" customWidth="1"/>
    <col min="100" max="100" width="8.375" customWidth="1"/>
    <col min="101" max="101" width="5.375" customWidth="1"/>
    <col min="102" max="102" width="8.375" customWidth="1"/>
    <col min="103" max="103" width="5.375" customWidth="1"/>
    <col min="104" max="104" width="8.375" customWidth="1"/>
    <col min="105" max="105" width="6.5" customWidth="1"/>
    <col min="106" max="106" width="9.5" customWidth="1"/>
    <col min="107" max="107" width="6.5" customWidth="1"/>
    <col min="108" max="108" width="9.5" customWidth="1"/>
    <col min="109" max="109" width="6.5" customWidth="1"/>
    <col min="110" max="110" width="9.5" customWidth="1"/>
    <col min="111" max="111" width="6.5" customWidth="1"/>
    <col min="112" max="112" width="9.5" customWidth="1"/>
    <col min="113" max="113" width="6.5" customWidth="1"/>
    <col min="114" max="114" width="9.5" customWidth="1"/>
    <col min="115" max="115" width="6.5" customWidth="1"/>
    <col min="116" max="116" width="9.5" customWidth="1"/>
    <col min="117" max="117" width="6.5" customWidth="1"/>
    <col min="118" max="118" width="9.5" customWidth="1"/>
    <col min="119" max="119" width="6.5" customWidth="1"/>
    <col min="120" max="120" width="9.5" customWidth="1"/>
    <col min="121" max="121" width="6.5" customWidth="1"/>
    <col min="122" max="122" width="9.5" customWidth="1"/>
    <col min="123" max="123" width="13" customWidth="1"/>
    <col min="124" max="124" width="5.375" customWidth="1"/>
    <col min="125" max="125" width="8.375" customWidth="1"/>
    <col min="126" max="126" width="5.375" customWidth="1"/>
    <col min="127" max="127" width="8.375" customWidth="1"/>
    <col min="128" max="128" width="5.375" customWidth="1"/>
    <col min="129" max="129" width="8.375" customWidth="1"/>
    <col min="130" max="130" width="5.375" customWidth="1"/>
    <col min="131" max="131" width="8.375" customWidth="1"/>
    <col min="132" max="132" width="5.375" customWidth="1"/>
    <col min="133" max="133" width="8.375" customWidth="1"/>
    <col min="134" max="134" width="5.375" customWidth="1"/>
    <col min="135" max="135" width="8.375" customWidth="1"/>
    <col min="136" max="136" width="5.375" customWidth="1"/>
    <col min="137" max="137" width="8.375" customWidth="1"/>
    <col min="138" max="138" width="5.375" customWidth="1"/>
    <col min="139" max="139" width="8.375" customWidth="1"/>
    <col min="140" max="140" width="5.375" customWidth="1"/>
    <col min="141" max="141" width="8.375" customWidth="1"/>
    <col min="142" max="142" width="5.375" customWidth="1"/>
    <col min="143" max="143" width="8.375" customWidth="1"/>
    <col min="144" max="144" width="5.375" customWidth="1"/>
    <col min="145" max="145" width="8.375" customWidth="1"/>
    <col min="146" max="146" width="5.375" customWidth="1"/>
    <col min="147" max="147" width="8.375" customWidth="1"/>
    <col min="148" max="148" width="5.375" customWidth="1"/>
    <col min="149" max="149" width="8.375" customWidth="1"/>
    <col min="150" max="150" width="5.375" customWidth="1"/>
    <col min="151" max="151" width="8.375" customWidth="1"/>
    <col min="152" max="152" width="5.375" customWidth="1"/>
    <col min="153" max="153" width="8.375" customWidth="1"/>
    <col min="154" max="154" width="5.375" customWidth="1"/>
    <col min="155" max="155" width="8.375" customWidth="1"/>
    <col min="156" max="156" width="5.375" customWidth="1"/>
    <col min="157" max="157" width="8.375" customWidth="1"/>
    <col min="158" max="158" width="5.375" customWidth="1"/>
    <col min="159" max="159" width="8.375" customWidth="1"/>
    <col min="160" max="160" width="5.375" customWidth="1"/>
    <col min="161" max="161" width="8.375" customWidth="1"/>
    <col min="162" max="162" width="13" bestFit="1" customWidth="1"/>
  </cols>
  <sheetData>
    <row r="3" spans="1:11" x14ac:dyDescent="0.2">
      <c r="B3" s="17" t="s">
        <v>25</v>
      </c>
    </row>
    <row r="4" spans="1:11" x14ac:dyDescent="0.2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9</v>
      </c>
      <c r="J4">
        <v>10</v>
      </c>
      <c r="K4" t="s">
        <v>24</v>
      </c>
    </row>
    <row r="5" spans="1:11" x14ac:dyDescent="0.2">
      <c r="A5" t="s">
        <v>26</v>
      </c>
      <c r="B5" s="16">
        <v>1</v>
      </c>
      <c r="C5" s="16">
        <v>3</v>
      </c>
      <c r="D5" s="16">
        <v>16</v>
      </c>
      <c r="E5" s="16">
        <v>31</v>
      </c>
      <c r="F5" s="16">
        <v>19</v>
      </c>
      <c r="G5" s="16">
        <v>6</v>
      </c>
      <c r="H5" s="16">
        <v>2</v>
      </c>
      <c r="I5" s="16">
        <v>1</v>
      </c>
      <c r="J5" s="16">
        <v>1</v>
      </c>
      <c r="K5" s="16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J11" sqref="J11"/>
    </sheetView>
  </sheetViews>
  <sheetFormatPr baseColWidth="10" defaultRowHeight="12.75" x14ac:dyDescent="0.2"/>
  <cols>
    <col min="1" max="1" width="17.375" bestFit="1" customWidth="1"/>
    <col min="2" max="3" width="1.875" bestFit="1" customWidth="1"/>
    <col min="4" max="6" width="2.875" bestFit="1" customWidth="1"/>
    <col min="7" max="9" width="1.875" bestFit="1" customWidth="1"/>
    <col min="10" max="10" width="2.875" bestFit="1" customWidth="1"/>
    <col min="11" max="11" width="11.75" bestFit="1" customWidth="1"/>
  </cols>
  <sheetData>
    <row r="1" spans="1:11" x14ac:dyDescent="0.2">
      <c r="A1" t="s">
        <v>26</v>
      </c>
    </row>
    <row r="2" spans="1:11" x14ac:dyDescent="0.2">
      <c r="A2" t="s">
        <v>23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9</v>
      </c>
      <c r="J2">
        <v>10</v>
      </c>
      <c r="K2" t="s">
        <v>24</v>
      </c>
    </row>
    <row r="3" spans="1:11" x14ac:dyDescent="0.2">
      <c r="A3">
        <v>24</v>
      </c>
      <c r="B3">
        <v>1</v>
      </c>
      <c r="K3">
        <v>1</v>
      </c>
    </row>
    <row r="4" spans="1:11" x14ac:dyDescent="0.2">
      <c r="A4">
        <v>32</v>
      </c>
      <c r="C4">
        <v>1</v>
      </c>
      <c r="K4">
        <v>1</v>
      </c>
    </row>
    <row r="5" spans="1:11" x14ac:dyDescent="0.2">
      <c r="A5">
        <v>34</v>
      </c>
      <c r="D5">
        <v>1</v>
      </c>
      <c r="K5">
        <v>1</v>
      </c>
    </row>
    <row r="6" spans="1:11" x14ac:dyDescent="0.2">
      <c r="A6">
        <v>46</v>
      </c>
      <c r="C6">
        <v>1</v>
      </c>
      <c r="K6">
        <v>1</v>
      </c>
    </row>
    <row r="7" spans="1:11" x14ac:dyDescent="0.2">
      <c r="A7">
        <v>47</v>
      </c>
      <c r="D7">
        <v>1</v>
      </c>
      <c r="E7">
        <v>1</v>
      </c>
      <c r="K7">
        <v>2</v>
      </c>
    </row>
    <row r="8" spans="1:11" x14ac:dyDescent="0.2">
      <c r="A8">
        <v>51</v>
      </c>
      <c r="D8">
        <v>1</v>
      </c>
      <c r="E8">
        <v>1</v>
      </c>
      <c r="K8">
        <v>2</v>
      </c>
    </row>
    <row r="9" spans="1:11" x14ac:dyDescent="0.2">
      <c r="A9">
        <v>53</v>
      </c>
      <c r="D9">
        <v>1</v>
      </c>
      <c r="K9">
        <v>1</v>
      </c>
    </row>
    <row r="10" spans="1:11" x14ac:dyDescent="0.2">
      <c r="A10">
        <v>55</v>
      </c>
      <c r="C10">
        <v>1</v>
      </c>
      <c r="K10">
        <v>1</v>
      </c>
    </row>
    <row r="11" spans="1:11" x14ac:dyDescent="0.2">
      <c r="A11">
        <v>58</v>
      </c>
      <c r="D11">
        <v>2</v>
      </c>
      <c r="K11">
        <v>2</v>
      </c>
    </row>
    <row r="12" spans="1:11" x14ac:dyDescent="0.2">
      <c r="A12">
        <v>59</v>
      </c>
      <c r="D12">
        <v>2</v>
      </c>
      <c r="K12">
        <v>2</v>
      </c>
    </row>
    <row r="13" spans="1:11" x14ac:dyDescent="0.2">
      <c r="A13">
        <v>60</v>
      </c>
      <c r="E13">
        <v>1</v>
      </c>
      <c r="K13">
        <v>1</v>
      </c>
    </row>
    <row r="14" spans="1:11" x14ac:dyDescent="0.2">
      <c r="A14">
        <v>61</v>
      </c>
      <c r="E14">
        <v>1</v>
      </c>
      <c r="K14">
        <v>1</v>
      </c>
    </row>
    <row r="15" spans="1:11" x14ac:dyDescent="0.2">
      <c r="A15">
        <v>62</v>
      </c>
      <c r="D15">
        <v>1</v>
      </c>
      <c r="E15">
        <v>2</v>
      </c>
      <c r="F15">
        <v>1</v>
      </c>
      <c r="K15">
        <v>4</v>
      </c>
    </row>
    <row r="16" spans="1:11" x14ac:dyDescent="0.2">
      <c r="A16">
        <v>63</v>
      </c>
      <c r="D16">
        <v>1</v>
      </c>
      <c r="E16">
        <v>1</v>
      </c>
      <c r="K16">
        <v>2</v>
      </c>
    </row>
    <row r="17" spans="1:11" x14ac:dyDescent="0.2">
      <c r="A17">
        <v>64</v>
      </c>
      <c r="E17">
        <v>1</v>
      </c>
      <c r="K17">
        <v>1</v>
      </c>
    </row>
    <row r="18" spans="1:11" x14ac:dyDescent="0.2">
      <c r="A18">
        <v>65</v>
      </c>
      <c r="E18">
        <v>1</v>
      </c>
      <c r="K18">
        <v>1</v>
      </c>
    </row>
    <row r="19" spans="1:11" x14ac:dyDescent="0.2">
      <c r="A19">
        <v>66</v>
      </c>
      <c r="D19">
        <v>1</v>
      </c>
      <c r="E19">
        <v>3</v>
      </c>
      <c r="F19">
        <v>1</v>
      </c>
      <c r="K19">
        <v>5</v>
      </c>
    </row>
    <row r="20" spans="1:11" x14ac:dyDescent="0.2">
      <c r="A20">
        <v>67</v>
      </c>
      <c r="E20">
        <v>2</v>
      </c>
      <c r="K20">
        <v>2</v>
      </c>
    </row>
    <row r="21" spans="1:11" x14ac:dyDescent="0.2">
      <c r="A21">
        <v>68</v>
      </c>
      <c r="D21">
        <v>1</v>
      </c>
      <c r="E21">
        <v>2</v>
      </c>
      <c r="K21">
        <v>3</v>
      </c>
    </row>
    <row r="22" spans="1:11" x14ac:dyDescent="0.2">
      <c r="A22">
        <v>69</v>
      </c>
      <c r="E22">
        <v>1</v>
      </c>
      <c r="K22">
        <v>1</v>
      </c>
    </row>
    <row r="23" spans="1:11" x14ac:dyDescent="0.2">
      <c r="A23">
        <v>70</v>
      </c>
      <c r="D23">
        <v>1</v>
      </c>
      <c r="K23">
        <v>1</v>
      </c>
    </row>
    <row r="24" spans="1:11" x14ac:dyDescent="0.2">
      <c r="A24">
        <v>71</v>
      </c>
      <c r="E24">
        <v>2</v>
      </c>
      <c r="F24">
        <v>1</v>
      </c>
      <c r="K24">
        <v>3</v>
      </c>
    </row>
    <row r="25" spans="1:11" x14ac:dyDescent="0.2">
      <c r="A25">
        <v>72</v>
      </c>
      <c r="E25">
        <v>1</v>
      </c>
      <c r="F25">
        <v>1</v>
      </c>
      <c r="K25">
        <v>2</v>
      </c>
    </row>
    <row r="26" spans="1:11" x14ac:dyDescent="0.2">
      <c r="A26">
        <v>73</v>
      </c>
      <c r="E26">
        <v>1</v>
      </c>
      <c r="F26">
        <v>1</v>
      </c>
      <c r="K26">
        <v>2</v>
      </c>
    </row>
    <row r="27" spans="1:11" x14ac:dyDescent="0.2">
      <c r="A27">
        <v>75</v>
      </c>
      <c r="E27">
        <v>1</v>
      </c>
      <c r="K27">
        <v>1</v>
      </c>
    </row>
    <row r="28" spans="1:11" x14ac:dyDescent="0.2">
      <c r="A28">
        <v>76</v>
      </c>
      <c r="E28">
        <v>2</v>
      </c>
      <c r="K28">
        <v>2</v>
      </c>
    </row>
    <row r="29" spans="1:11" x14ac:dyDescent="0.2">
      <c r="A29">
        <v>77</v>
      </c>
      <c r="D29">
        <v>1</v>
      </c>
      <c r="K29">
        <v>1</v>
      </c>
    </row>
    <row r="30" spans="1:11" x14ac:dyDescent="0.2">
      <c r="A30">
        <v>78</v>
      </c>
      <c r="D30">
        <v>1</v>
      </c>
      <c r="F30">
        <v>1</v>
      </c>
      <c r="G30">
        <v>1</v>
      </c>
      <c r="K30">
        <v>3</v>
      </c>
    </row>
    <row r="31" spans="1:11" x14ac:dyDescent="0.2">
      <c r="A31">
        <v>79</v>
      </c>
      <c r="E31">
        <v>1</v>
      </c>
      <c r="F31">
        <v>1</v>
      </c>
      <c r="K31">
        <v>2</v>
      </c>
    </row>
    <row r="32" spans="1:11" x14ac:dyDescent="0.2">
      <c r="A32">
        <v>80</v>
      </c>
      <c r="F32">
        <v>1</v>
      </c>
      <c r="G32">
        <v>1</v>
      </c>
      <c r="K32">
        <v>2</v>
      </c>
    </row>
    <row r="33" spans="1:11" x14ac:dyDescent="0.2">
      <c r="A33">
        <v>82</v>
      </c>
      <c r="E33">
        <v>1</v>
      </c>
      <c r="K33">
        <v>1</v>
      </c>
    </row>
    <row r="34" spans="1:11" x14ac:dyDescent="0.2">
      <c r="A34">
        <v>84</v>
      </c>
      <c r="E34">
        <v>1</v>
      </c>
      <c r="F34">
        <v>2</v>
      </c>
      <c r="K34">
        <v>3</v>
      </c>
    </row>
    <row r="35" spans="1:11" x14ac:dyDescent="0.2">
      <c r="A35">
        <v>87</v>
      </c>
      <c r="E35">
        <v>1</v>
      </c>
      <c r="K35">
        <v>1</v>
      </c>
    </row>
    <row r="36" spans="1:11" x14ac:dyDescent="0.2">
      <c r="A36">
        <v>88</v>
      </c>
      <c r="F36">
        <v>1</v>
      </c>
      <c r="K36">
        <v>1</v>
      </c>
    </row>
    <row r="37" spans="1:11" x14ac:dyDescent="0.2">
      <c r="A37">
        <v>89</v>
      </c>
      <c r="F37">
        <v>1</v>
      </c>
      <c r="K37">
        <v>1</v>
      </c>
    </row>
    <row r="38" spans="1:11" x14ac:dyDescent="0.2">
      <c r="A38">
        <v>90</v>
      </c>
      <c r="G38">
        <v>1</v>
      </c>
      <c r="K38">
        <v>1</v>
      </c>
    </row>
    <row r="39" spans="1:11" x14ac:dyDescent="0.2">
      <c r="A39">
        <v>91</v>
      </c>
      <c r="E39">
        <v>1</v>
      </c>
      <c r="F39">
        <v>1</v>
      </c>
      <c r="K39">
        <v>2</v>
      </c>
    </row>
    <row r="40" spans="1:11" x14ac:dyDescent="0.2">
      <c r="A40">
        <v>92</v>
      </c>
      <c r="F40">
        <v>1</v>
      </c>
      <c r="H40">
        <v>1</v>
      </c>
      <c r="K40">
        <v>2</v>
      </c>
    </row>
    <row r="41" spans="1:11" x14ac:dyDescent="0.2">
      <c r="A41">
        <v>93</v>
      </c>
      <c r="D41">
        <v>1</v>
      </c>
      <c r="K41">
        <v>1</v>
      </c>
    </row>
    <row r="42" spans="1:11" x14ac:dyDescent="0.2">
      <c r="A42">
        <v>94</v>
      </c>
      <c r="F42">
        <v>1</v>
      </c>
      <c r="G42">
        <v>1</v>
      </c>
      <c r="K42">
        <v>2</v>
      </c>
    </row>
    <row r="43" spans="1:11" x14ac:dyDescent="0.2">
      <c r="A43">
        <v>95</v>
      </c>
      <c r="F43">
        <v>1</v>
      </c>
      <c r="K43">
        <v>1</v>
      </c>
    </row>
    <row r="44" spans="1:11" x14ac:dyDescent="0.2">
      <c r="A44">
        <v>98</v>
      </c>
      <c r="E44">
        <v>1</v>
      </c>
      <c r="K44">
        <v>1</v>
      </c>
    </row>
    <row r="45" spans="1:11" x14ac:dyDescent="0.2">
      <c r="A45">
        <v>104</v>
      </c>
      <c r="G45">
        <v>1</v>
      </c>
      <c r="K45">
        <v>1</v>
      </c>
    </row>
    <row r="46" spans="1:11" x14ac:dyDescent="0.2">
      <c r="A46">
        <v>110</v>
      </c>
      <c r="F46">
        <v>1</v>
      </c>
      <c r="K46">
        <v>1</v>
      </c>
    </row>
    <row r="47" spans="1:11" x14ac:dyDescent="0.2">
      <c r="A47">
        <v>112</v>
      </c>
      <c r="H47">
        <v>1</v>
      </c>
      <c r="K47">
        <v>1</v>
      </c>
    </row>
    <row r="48" spans="1:11" x14ac:dyDescent="0.2">
      <c r="A48">
        <v>117</v>
      </c>
      <c r="G48">
        <v>1</v>
      </c>
      <c r="K48">
        <v>1</v>
      </c>
    </row>
    <row r="49" spans="1:11" x14ac:dyDescent="0.2">
      <c r="A49">
        <v>121</v>
      </c>
      <c r="F49">
        <v>1</v>
      </c>
      <c r="K49">
        <v>1</v>
      </c>
    </row>
    <row r="50" spans="1:11" x14ac:dyDescent="0.2">
      <c r="A50">
        <v>133</v>
      </c>
      <c r="I50">
        <v>1</v>
      </c>
      <c r="K50">
        <v>1</v>
      </c>
    </row>
    <row r="51" spans="1:11" x14ac:dyDescent="0.2">
      <c r="A51">
        <v>138</v>
      </c>
      <c r="E51">
        <v>1</v>
      </c>
      <c r="K51">
        <v>1</v>
      </c>
    </row>
    <row r="52" spans="1:11" x14ac:dyDescent="0.2">
      <c r="A52">
        <v>161</v>
      </c>
      <c r="F52">
        <v>1</v>
      </c>
      <c r="K52">
        <v>1</v>
      </c>
    </row>
    <row r="53" spans="1:11" x14ac:dyDescent="0.2">
      <c r="A53">
        <v>163</v>
      </c>
      <c r="J53">
        <v>1</v>
      </c>
      <c r="K53">
        <v>1</v>
      </c>
    </row>
    <row r="54" spans="1:11" x14ac:dyDescent="0.2">
      <c r="A54" t="s">
        <v>24</v>
      </c>
      <c r="B54">
        <v>1</v>
      </c>
      <c r="C54">
        <v>3</v>
      </c>
      <c r="D54">
        <v>16</v>
      </c>
      <c r="E54">
        <v>31</v>
      </c>
      <c r="F54">
        <v>19</v>
      </c>
      <c r="G54">
        <v>6</v>
      </c>
      <c r="H54">
        <v>2</v>
      </c>
      <c r="I54">
        <v>1</v>
      </c>
      <c r="J54">
        <v>1</v>
      </c>
      <c r="K54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E2"/>
  <sheetViews>
    <sheetView workbookViewId="0"/>
  </sheetViews>
  <sheetFormatPr baseColWidth="10" defaultRowHeight="12.75" x14ac:dyDescent="0.2"/>
  <sheetData>
    <row r="1" spans="1:5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>
        <f>COUNT('Ex2'!$C$3:$I$10)</f>
        <v>30</v>
      </c>
      <c r="B2">
        <v>7</v>
      </c>
      <c r="C2">
        <v>5</v>
      </c>
      <c r="D2">
        <v>0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opLeftCell="D1" workbookViewId="0">
      <selection activeCell="R5" sqref="R5"/>
    </sheetView>
  </sheetViews>
  <sheetFormatPr baseColWidth="10" defaultRowHeight="12.75" x14ac:dyDescent="0.2"/>
  <cols>
    <col min="1" max="1" width="22" bestFit="1" customWidth="1"/>
    <col min="2" max="2" width="2.875" bestFit="1" customWidth="1"/>
    <col min="3" max="4" width="3.875" bestFit="1" customWidth="1"/>
    <col min="5" max="6" width="4.875" bestFit="1" customWidth="1"/>
    <col min="7" max="10" width="3.875" bestFit="1" customWidth="1"/>
    <col min="11" max="11" width="11.75" bestFit="1" customWidth="1"/>
    <col min="13" max="13" width="17.375" bestFit="1" customWidth="1"/>
    <col min="14" max="14" width="12.25" bestFit="1" customWidth="1"/>
    <col min="16" max="16" width="11.875" bestFit="1" customWidth="1"/>
  </cols>
  <sheetData>
    <row r="1" spans="1:18" x14ac:dyDescent="0.2">
      <c r="A1" t="s">
        <v>23</v>
      </c>
    </row>
    <row r="2" spans="1:18" x14ac:dyDescent="0.2">
      <c r="A2" t="s">
        <v>28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9</v>
      </c>
      <c r="J2">
        <v>10</v>
      </c>
      <c r="K2" t="s">
        <v>24</v>
      </c>
      <c r="M2" t="s">
        <v>28</v>
      </c>
      <c r="N2" t="s">
        <v>29</v>
      </c>
      <c r="O2" t="s">
        <v>30</v>
      </c>
      <c r="P2" t="s">
        <v>32</v>
      </c>
    </row>
    <row r="3" spans="1:18" x14ac:dyDescent="0.2">
      <c r="A3" t="s">
        <v>29</v>
      </c>
      <c r="B3">
        <v>1</v>
      </c>
      <c r="C3">
        <v>3</v>
      </c>
      <c r="D3">
        <v>16</v>
      </c>
      <c r="E3">
        <v>31</v>
      </c>
      <c r="F3">
        <v>19</v>
      </c>
      <c r="G3">
        <v>6</v>
      </c>
      <c r="H3">
        <v>2</v>
      </c>
      <c r="I3">
        <v>1</v>
      </c>
      <c r="J3">
        <v>1</v>
      </c>
      <c r="K3">
        <v>80</v>
      </c>
      <c r="M3">
        <v>24</v>
      </c>
      <c r="N3">
        <v>1</v>
      </c>
      <c r="O3">
        <f>M3*N3</f>
        <v>24</v>
      </c>
      <c r="P3">
        <f>N3</f>
        <v>1</v>
      </c>
    </row>
    <row r="4" spans="1:18" x14ac:dyDescent="0.2">
      <c r="A4" t="s">
        <v>30</v>
      </c>
      <c r="B4">
        <f>B2*B3</f>
        <v>1</v>
      </c>
      <c r="C4">
        <f t="shared" ref="C4:J4" si="0">C2*C3</f>
        <v>6</v>
      </c>
      <c r="D4">
        <f t="shared" si="0"/>
        <v>48</v>
      </c>
      <c r="E4">
        <f t="shared" si="0"/>
        <v>124</v>
      </c>
      <c r="F4">
        <f t="shared" si="0"/>
        <v>95</v>
      </c>
      <c r="G4">
        <f t="shared" si="0"/>
        <v>36</v>
      </c>
      <c r="H4">
        <f t="shared" si="0"/>
        <v>14</v>
      </c>
      <c r="I4">
        <f t="shared" si="0"/>
        <v>9</v>
      </c>
      <c r="J4">
        <f t="shared" si="0"/>
        <v>10</v>
      </c>
      <c r="K4">
        <f>SUM(B4:J4)</f>
        <v>343</v>
      </c>
      <c r="M4">
        <v>32</v>
      </c>
      <c r="N4">
        <v>1</v>
      </c>
      <c r="O4">
        <f t="shared" ref="O4:O53" si="1">M4*N4</f>
        <v>32</v>
      </c>
      <c r="P4">
        <f>N4+P3</f>
        <v>2</v>
      </c>
      <c r="R4">
        <f>M25</f>
        <v>72</v>
      </c>
    </row>
    <row r="5" spans="1:18" x14ac:dyDescent="0.2">
      <c r="A5" t="s">
        <v>31</v>
      </c>
      <c r="B5">
        <f>B4</f>
        <v>1</v>
      </c>
      <c r="C5">
        <f>B5+C3</f>
        <v>4</v>
      </c>
      <c r="D5">
        <f t="shared" ref="D5:J5" si="2">C5+D3</f>
        <v>20</v>
      </c>
      <c r="E5">
        <f t="shared" si="2"/>
        <v>51</v>
      </c>
      <c r="F5">
        <f t="shared" si="2"/>
        <v>70</v>
      </c>
      <c r="G5">
        <f t="shared" si="2"/>
        <v>76</v>
      </c>
      <c r="H5">
        <f t="shared" si="2"/>
        <v>78</v>
      </c>
      <c r="I5">
        <f t="shared" si="2"/>
        <v>79</v>
      </c>
      <c r="J5">
        <f t="shared" si="2"/>
        <v>80</v>
      </c>
      <c r="M5">
        <v>34</v>
      </c>
      <c r="N5">
        <v>1</v>
      </c>
      <c r="O5">
        <f t="shared" si="1"/>
        <v>34</v>
      </c>
      <c r="P5">
        <f t="shared" ref="P5:P53" si="3">N5+P4</f>
        <v>3</v>
      </c>
      <c r="R5">
        <f>SUM(O3:O53)/N54</f>
        <v>76.887500000000003</v>
      </c>
    </row>
    <row r="6" spans="1:18" x14ac:dyDescent="0.2">
      <c r="M6">
        <v>46</v>
      </c>
      <c r="N6">
        <v>1</v>
      </c>
      <c r="O6">
        <f t="shared" si="1"/>
        <v>46</v>
      </c>
      <c r="P6">
        <f t="shared" si="3"/>
        <v>4</v>
      </c>
    </row>
    <row r="7" spans="1:18" x14ac:dyDescent="0.2">
      <c r="M7">
        <v>47</v>
      </c>
      <c r="N7">
        <v>2</v>
      </c>
      <c r="O7">
        <f t="shared" si="1"/>
        <v>94</v>
      </c>
      <c r="P7">
        <f t="shared" si="3"/>
        <v>6</v>
      </c>
    </row>
    <row r="8" spans="1:18" x14ac:dyDescent="0.2">
      <c r="M8">
        <v>51</v>
      </c>
      <c r="N8">
        <v>2</v>
      </c>
      <c r="O8">
        <f t="shared" si="1"/>
        <v>102</v>
      </c>
      <c r="P8">
        <f t="shared" si="3"/>
        <v>8</v>
      </c>
    </row>
    <row r="9" spans="1:18" x14ac:dyDescent="0.2">
      <c r="M9">
        <v>53</v>
      </c>
      <c r="N9">
        <v>1</v>
      </c>
      <c r="O9">
        <f t="shared" si="1"/>
        <v>53</v>
      </c>
      <c r="P9">
        <f t="shared" si="3"/>
        <v>9</v>
      </c>
    </row>
    <row r="10" spans="1:18" x14ac:dyDescent="0.2">
      <c r="M10">
        <v>55</v>
      </c>
      <c r="N10">
        <v>1</v>
      </c>
      <c r="O10">
        <f t="shared" si="1"/>
        <v>55</v>
      </c>
      <c r="P10">
        <f t="shared" si="3"/>
        <v>10</v>
      </c>
    </row>
    <row r="11" spans="1:18" x14ac:dyDescent="0.2">
      <c r="M11">
        <v>58</v>
      </c>
      <c r="N11">
        <v>2</v>
      </c>
      <c r="O11">
        <f t="shared" si="1"/>
        <v>116</v>
      </c>
      <c r="P11">
        <f t="shared" si="3"/>
        <v>12</v>
      </c>
    </row>
    <row r="12" spans="1:18" x14ac:dyDescent="0.2">
      <c r="M12">
        <v>59</v>
      </c>
      <c r="N12">
        <v>2</v>
      </c>
      <c r="O12">
        <f t="shared" si="1"/>
        <v>118</v>
      </c>
      <c r="P12">
        <f t="shared" si="3"/>
        <v>14</v>
      </c>
    </row>
    <row r="13" spans="1:18" x14ac:dyDescent="0.2">
      <c r="M13">
        <v>60</v>
      </c>
      <c r="N13">
        <v>1</v>
      </c>
      <c r="O13">
        <f t="shared" si="1"/>
        <v>60</v>
      </c>
      <c r="P13">
        <f t="shared" si="3"/>
        <v>15</v>
      </c>
    </row>
    <row r="14" spans="1:18" x14ac:dyDescent="0.2">
      <c r="M14">
        <v>61</v>
      </c>
      <c r="N14">
        <v>1</v>
      </c>
      <c r="O14">
        <f t="shared" si="1"/>
        <v>61</v>
      </c>
      <c r="P14">
        <f t="shared" si="3"/>
        <v>16</v>
      </c>
    </row>
    <row r="15" spans="1:18" x14ac:dyDescent="0.2">
      <c r="M15">
        <v>62</v>
      </c>
      <c r="N15">
        <v>4</v>
      </c>
      <c r="O15">
        <f t="shared" si="1"/>
        <v>248</v>
      </c>
      <c r="P15">
        <f t="shared" si="3"/>
        <v>20</v>
      </c>
    </row>
    <row r="16" spans="1:18" x14ac:dyDescent="0.2">
      <c r="M16">
        <v>63</v>
      </c>
      <c r="N16">
        <v>2</v>
      </c>
      <c r="O16">
        <f t="shared" si="1"/>
        <v>126</v>
      </c>
      <c r="P16">
        <f t="shared" si="3"/>
        <v>22</v>
      </c>
    </row>
    <row r="17" spans="13:16" x14ac:dyDescent="0.2">
      <c r="M17">
        <v>64</v>
      </c>
      <c r="N17">
        <v>1</v>
      </c>
      <c r="O17">
        <f t="shared" si="1"/>
        <v>64</v>
      </c>
      <c r="P17">
        <f t="shared" si="3"/>
        <v>23</v>
      </c>
    </row>
    <row r="18" spans="13:16" x14ac:dyDescent="0.2">
      <c r="M18">
        <v>65</v>
      </c>
      <c r="N18">
        <v>1</v>
      </c>
      <c r="O18">
        <f t="shared" si="1"/>
        <v>65</v>
      </c>
      <c r="P18">
        <f t="shared" si="3"/>
        <v>24</v>
      </c>
    </row>
    <row r="19" spans="13:16" x14ac:dyDescent="0.2">
      <c r="M19">
        <v>66</v>
      </c>
      <c r="N19">
        <v>5</v>
      </c>
      <c r="O19">
        <f t="shared" si="1"/>
        <v>330</v>
      </c>
      <c r="P19">
        <f t="shared" si="3"/>
        <v>29</v>
      </c>
    </row>
    <row r="20" spans="13:16" x14ac:dyDescent="0.2">
      <c r="M20">
        <v>67</v>
      </c>
      <c r="N20">
        <v>2</v>
      </c>
      <c r="O20">
        <f t="shared" si="1"/>
        <v>134</v>
      </c>
      <c r="P20">
        <f t="shared" si="3"/>
        <v>31</v>
      </c>
    </row>
    <row r="21" spans="13:16" x14ac:dyDescent="0.2">
      <c r="M21">
        <v>68</v>
      </c>
      <c r="N21">
        <v>3</v>
      </c>
      <c r="O21">
        <f t="shared" si="1"/>
        <v>204</v>
      </c>
      <c r="P21">
        <f t="shared" si="3"/>
        <v>34</v>
      </c>
    </row>
    <row r="22" spans="13:16" x14ac:dyDescent="0.2">
      <c r="M22">
        <v>69</v>
      </c>
      <c r="N22">
        <v>1</v>
      </c>
      <c r="O22">
        <f t="shared" si="1"/>
        <v>69</v>
      </c>
      <c r="P22">
        <f t="shared" si="3"/>
        <v>35</v>
      </c>
    </row>
    <row r="23" spans="13:16" x14ac:dyDescent="0.2">
      <c r="M23">
        <v>70</v>
      </c>
      <c r="N23">
        <v>1</v>
      </c>
      <c r="O23">
        <f t="shared" si="1"/>
        <v>70</v>
      </c>
      <c r="P23">
        <f t="shared" si="3"/>
        <v>36</v>
      </c>
    </row>
    <row r="24" spans="13:16" x14ac:dyDescent="0.2">
      <c r="M24">
        <v>71</v>
      </c>
      <c r="N24">
        <v>3</v>
      </c>
      <c r="O24">
        <f t="shared" si="1"/>
        <v>213</v>
      </c>
      <c r="P24">
        <f t="shared" si="3"/>
        <v>39</v>
      </c>
    </row>
    <row r="25" spans="13:16" x14ac:dyDescent="0.2">
      <c r="M25">
        <v>72</v>
      </c>
      <c r="N25">
        <v>2</v>
      </c>
      <c r="O25">
        <f t="shared" si="1"/>
        <v>144</v>
      </c>
      <c r="P25">
        <f t="shared" si="3"/>
        <v>41</v>
      </c>
    </row>
    <row r="26" spans="13:16" x14ac:dyDescent="0.2">
      <c r="M26">
        <v>73</v>
      </c>
      <c r="N26">
        <v>2</v>
      </c>
      <c r="O26">
        <f t="shared" si="1"/>
        <v>146</v>
      </c>
      <c r="P26">
        <f t="shared" si="3"/>
        <v>43</v>
      </c>
    </row>
    <row r="27" spans="13:16" x14ac:dyDescent="0.2">
      <c r="M27">
        <v>75</v>
      </c>
      <c r="N27">
        <v>1</v>
      </c>
      <c r="O27">
        <f t="shared" si="1"/>
        <v>75</v>
      </c>
      <c r="P27">
        <f t="shared" si="3"/>
        <v>44</v>
      </c>
    </row>
    <row r="28" spans="13:16" x14ac:dyDescent="0.2">
      <c r="M28">
        <v>76</v>
      </c>
      <c r="N28">
        <v>2</v>
      </c>
      <c r="O28">
        <f t="shared" si="1"/>
        <v>152</v>
      </c>
      <c r="P28">
        <f t="shared" si="3"/>
        <v>46</v>
      </c>
    </row>
    <row r="29" spans="13:16" x14ac:dyDescent="0.2">
      <c r="M29">
        <v>77</v>
      </c>
      <c r="N29">
        <v>1</v>
      </c>
      <c r="O29">
        <f t="shared" si="1"/>
        <v>77</v>
      </c>
      <c r="P29">
        <f t="shared" si="3"/>
        <v>47</v>
      </c>
    </row>
    <row r="30" spans="13:16" x14ac:dyDescent="0.2">
      <c r="M30">
        <v>78</v>
      </c>
      <c r="N30">
        <v>3</v>
      </c>
      <c r="O30">
        <f t="shared" si="1"/>
        <v>234</v>
      </c>
      <c r="P30">
        <f t="shared" si="3"/>
        <v>50</v>
      </c>
    </row>
    <row r="31" spans="13:16" x14ac:dyDescent="0.2">
      <c r="M31">
        <v>79</v>
      </c>
      <c r="N31">
        <v>2</v>
      </c>
      <c r="O31">
        <f t="shared" si="1"/>
        <v>158</v>
      </c>
      <c r="P31">
        <f t="shared" si="3"/>
        <v>52</v>
      </c>
    </row>
    <row r="32" spans="13:16" x14ac:dyDescent="0.2">
      <c r="M32">
        <v>80</v>
      </c>
      <c r="N32">
        <v>2</v>
      </c>
      <c r="O32">
        <f t="shared" si="1"/>
        <v>160</v>
      </c>
      <c r="P32">
        <f t="shared" si="3"/>
        <v>54</v>
      </c>
    </row>
    <row r="33" spans="13:16" x14ac:dyDescent="0.2">
      <c r="M33">
        <v>82</v>
      </c>
      <c r="N33">
        <v>1</v>
      </c>
      <c r="O33">
        <f t="shared" si="1"/>
        <v>82</v>
      </c>
      <c r="P33">
        <f t="shared" si="3"/>
        <v>55</v>
      </c>
    </row>
    <row r="34" spans="13:16" x14ac:dyDescent="0.2">
      <c r="M34">
        <v>84</v>
      </c>
      <c r="N34">
        <v>3</v>
      </c>
      <c r="O34">
        <f t="shared" si="1"/>
        <v>252</v>
      </c>
      <c r="P34">
        <f t="shared" si="3"/>
        <v>58</v>
      </c>
    </row>
    <row r="35" spans="13:16" x14ac:dyDescent="0.2">
      <c r="M35">
        <v>87</v>
      </c>
      <c r="N35">
        <v>1</v>
      </c>
      <c r="O35">
        <f t="shared" si="1"/>
        <v>87</v>
      </c>
      <c r="P35">
        <f t="shared" si="3"/>
        <v>59</v>
      </c>
    </row>
    <row r="36" spans="13:16" x14ac:dyDescent="0.2">
      <c r="M36">
        <v>88</v>
      </c>
      <c r="N36">
        <v>1</v>
      </c>
      <c r="O36">
        <f t="shared" si="1"/>
        <v>88</v>
      </c>
      <c r="P36">
        <f t="shared" si="3"/>
        <v>60</v>
      </c>
    </row>
    <row r="37" spans="13:16" x14ac:dyDescent="0.2">
      <c r="M37">
        <v>89</v>
      </c>
      <c r="N37">
        <v>1</v>
      </c>
      <c r="O37">
        <f t="shared" si="1"/>
        <v>89</v>
      </c>
      <c r="P37">
        <f t="shared" si="3"/>
        <v>61</v>
      </c>
    </row>
    <row r="38" spans="13:16" x14ac:dyDescent="0.2">
      <c r="M38">
        <v>90</v>
      </c>
      <c r="N38">
        <v>1</v>
      </c>
      <c r="O38">
        <f t="shared" si="1"/>
        <v>90</v>
      </c>
      <c r="P38">
        <f t="shared" si="3"/>
        <v>62</v>
      </c>
    </row>
    <row r="39" spans="13:16" x14ac:dyDescent="0.2">
      <c r="M39">
        <v>91</v>
      </c>
      <c r="N39">
        <v>2</v>
      </c>
      <c r="O39">
        <f t="shared" si="1"/>
        <v>182</v>
      </c>
      <c r="P39">
        <f t="shared" si="3"/>
        <v>64</v>
      </c>
    </row>
    <row r="40" spans="13:16" x14ac:dyDescent="0.2">
      <c r="M40">
        <v>92</v>
      </c>
      <c r="N40">
        <v>2</v>
      </c>
      <c r="O40">
        <f t="shared" si="1"/>
        <v>184</v>
      </c>
      <c r="P40">
        <f t="shared" si="3"/>
        <v>66</v>
      </c>
    </row>
    <row r="41" spans="13:16" x14ac:dyDescent="0.2">
      <c r="M41">
        <v>93</v>
      </c>
      <c r="N41">
        <v>1</v>
      </c>
      <c r="O41">
        <f t="shared" si="1"/>
        <v>93</v>
      </c>
      <c r="P41">
        <f t="shared" si="3"/>
        <v>67</v>
      </c>
    </row>
    <row r="42" spans="13:16" x14ac:dyDescent="0.2">
      <c r="M42">
        <v>94</v>
      </c>
      <c r="N42">
        <v>2</v>
      </c>
      <c r="O42">
        <f t="shared" si="1"/>
        <v>188</v>
      </c>
      <c r="P42">
        <f t="shared" si="3"/>
        <v>69</v>
      </c>
    </row>
    <row r="43" spans="13:16" x14ac:dyDescent="0.2">
      <c r="M43">
        <v>95</v>
      </c>
      <c r="N43">
        <v>1</v>
      </c>
      <c r="O43">
        <f t="shared" si="1"/>
        <v>95</v>
      </c>
      <c r="P43">
        <f t="shared" si="3"/>
        <v>70</v>
      </c>
    </row>
    <row r="44" spans="13:16" x14ac:dyDescent="0.2">
      <c r="M44">
        <v>98</v>
      </c>
      <c r="N44">
        <v>1</v>
      </c>
      <c r="O44">
        <f t="shared" si="1"/>
        <v>98</v>
      </c>
      <c r="P44">
        <f t="shared" si="3"/>
        <v>71</v>
      </c>
    </row>
    <row r="45" spans="13:16" x14ac:dyDescent="0.2">
      <c r="M45">
        <v>104</v>
      </c>
      <c r="N45">
        <v>1</v>
      </c>
      <c r="O45">
        <f t="shared" si="1"/>
        <v>104</v>
      </c>
      <c r="P45">
        <f t="shared" si="3"/>
        <v>72</v>
      </c>
    </row>
    <row r="46" spans="13:16" x14ac:dyDescent="0.2">
      <c r="M46">
        <v>110</v>
      </c>
      <c r="N46">
        <v>1</v>
      </c>
      <c r="O46">
        <f t="shared" si="1"/>
        <v>110</v>
      </c>
      <c r="P46">
        <f t="shared" si="3"/>
        <v>73</v>
      </c>
    </row>
    <row r="47" spans="13:16" x14ac:dyDescent="0.2">
      <c r="M47">
        <v>112</v>
      </c>
      <c r="N47">
        <v>1</v>
      </c>
      <c r="O47">
        <f t="shared" si="1"/>
        <v>112</v>
      </c>
      <c r="P47">
        <f t="shared" si="3"/>
        <v>74</v>
      </c>
    </row>
    <row r="48" spans="13:16" x14ac:dyDescent="0.2">
      <c r="M48">
        <v>117</v>
      </c>
      <c r="N48">
        <v>1</v>
      </c>
      <c r="O48">
        <f t="shared" si="1"/>
        <v>117</v>
      </c>
      <c r="P48">
        <f t="shared" si="3"/>
        <v>75</v>
      </c>
    </row>
    <row r="49" spans="13:16" x14ac:dyDescent="0.2">
      <c r="M49">
        <v>121</v>
      </c>
      <c r="N49">
        <v>1</v>
      </c>
      <c r="O49">
        <f t="shared" si="1"/>
        <v>121</v>
      </c>
      <c r="P49">
        <f t="shared" si="3"/>
        <v>76</v>
      </c>
    </row>
    <row r="50" spans="13:16" x14ac:dyDescent="0.2">
      <c r="M50">
        <v>133</v>
      </c>
      <c r="N50">
        <v>1</v>
      </c>
      <c r="O50">
        <f t="shared" si="1"/>
        <v>133</v>
      </c>
      <c r="P50">
        <f t="shared" si="3"/>
        <v>77</v>
      </c>
    </row>
    <row r="51" spans="13:16" x14ac:dyDescent="0.2">
      <c r="M51">
        <v>138</v>
      </c>
      <c r="N51">
        <v>1</v>
      </c>
      <c r="O51">
        <f t="shared" si="1"/>
        <v>138</v>
      </c>
      <c r="P51">
        <f t="shared" si="3"/>
        <v>78</v>
      </c>
    </row>
    <row r="52" spans="13:16" x14ac:dyDescent="0.2">
      <c r="M52">
        <v>161</v>
      </c>
      <c r="N52">
        <v>1</v>
      </c>
      <c r="O52">
        <f t="shared" si="1"/>
        <v>161</v>
      </c>
      <c r="P52">
        <f t="shared" si="3"/>
        <v>79</v>
      </c>
    </row>
    <row r="53" spans="13:16" x14ac:dyDescent="0.2">
      <c r="M53">
        <v>163</v>
      </c>
      <c r="N53">
        <v>1</v>
      </c>
      <c r="O53">
        <f t="shared" si="1"/>
        <v>163</v>
      </c>
      <c r="P53">
        <f t="shared" si="3"/>
        <v>80</v>
      </c>
    </row>
    <row r="54" spans="13:16" x14ac:dyDescent="0.2">
      <c r="M54" t="s">
        <v>24</v>
      </c>
      <c r="N54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L47"/>
  <sheetViews>
    <sheetView tabSelected="1" topLeftCell="A11" zoomScaleNormal="100" workbookViewId="0">
      <selection activeCell="H22" sqref="H22:H23"/>
    </sheetView>
  </sheetViews>
  <sheetFormatPr baseColWidth="10" defaultRowHeight="12.75" x14ac:dyDescent="0.2"/>
  <cols>
    <col min="1" max="1" width="2.375" customWidth="1"/>
    <col min="2" max="2" width="2.5" customWidth="1"/>
    <col min="3" max="3" width="14" customWidth="1"/>
    <col min="4" max="4" width="18.5" customWidth="1"/>
    <col min="10" max="10" width="12.375" customWidth="1"/>
    <col min="14" max="29" width="4.5" customWidth="1"/>
    <col min="30" max="30" width="5.625" customWidth="1"/>
  </cols>
  <sheetData>
    <row r="1" spans="1:12" ht="15" x14ac:dyDescent="0.2">
      <c r="A1" s="7" t="s">
        <v>2</v>
      </c>
    </row>
    <row r="3" spans="1:12" ht="21.95" customHeight="1" x14ac:dyDescent="0.2">
      <c r="C3" s="14" t="s">
        <v>21</v>
      </c>
      <c r="D3" s="15" t="s">
        <v>22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3</v>
      </c>
    </row>
    <row r="4" spans="1:12" ht="21" customHeight="1" x14ac:dyDescent="0.2">
      <c r="C4" s="8" t="s">
        <v>8</v>
      </c>
      <c r="D4" s="9"/>
      <c r="E4" s="3"/>
      <c r="F4" s="3"/>
      <c r="G4" s="3"/>
      <c r="H4" s="3"/>
      <c r="I4" s="3"/>
    </row>
    <row r="5" spans="1:12" ht="21.95" customHeight="1" x14ac:dyDescent="0.2">
      <c r="C5" s="4" t="s">
        <v>9</v>
      </c>
      <c r="D5" s="10"/>
      <c r="E5" s="6">
        <v>97</v>
      </c>
      <c r="F5" s="6">
        <v>7</v>
      </c>
      <c r="G5" s="6">
        <v>0</v>
      </c>
      <c r="H5" s="6">
        <v>0</v>
      </c>
      <c r="I5" s="1">
        <f>SUM(E5:H5)</f>
        <v>104</v>
      </c>
    </row>
    <row r="6" spans="1:12" ht="21.95" customHeight="1" x14ac:dyDescent="0.2">
      <c r="C6" s="4" t="s">
        <v>10</v>
      </c>
      <c r="D6" s="10"/>
      <c r="E6" s="6">
        <v>403</v>
      </c>
      <c r="F6" s="6">
        <v>171</v>
      </c>
      <c r="G6" s="6">
        <v>7</v>
      </c>
      <c r="H6" s="6">
        <v>0</v>
      </c>
      <c r="I6" s="1">
        <f>SUM(E6:H6)</f>
        <v>581</v>
      </c>
    </row>
    <row r="7" spans="1:12" ht="21.95" customHeight="1" x14ac:dyDescent="0.2">
      <c r="C7" s="4" t="s">
        <v>11</v>
      </c>
      <c r="D7" s="10"/>
      <c r="E7" s="6">
        <v>60</v>
      </c>
      <c r="F7" s="6">
        <v>185</v>
      </c>
      <c r="G7" s="6">
        <v>23</v>
      </c>
      <c r="H7" s="6">
        <v>1</v>
      </c>
      <c r="I7" s="1">
        <f>SUM(E7:H7)</f>
        <v>269</v>
      </c>
    </row>
    <row r="8" spans="1:12" ht="21.95" customHeight="1" x14ac:dyDescent="0.2">
      <c r="C8" s="4" t="s">
        <v>12</v>
      </c>
      <c r="D8" s="10"/>
      <c r="E8" s="6">
        <v>1</v>
      </c>
      <c r="F8" s="6">
        <v>18</v>
      </c>
      <c r="G8" s="6">
        <v>19</v>
      </c>
      <c r="H8" s="6">
        <v>1</v>
      </c>
      <c r="I8" s="1">
        <f>SUM(E8:H8)</f>
        <v>39</v>
      </c>
    </row>
    <row r="9" spans="1:12" ht="21.95" customHeight="1" x14ac:dyDescent="0.2">
      <c r="C9" s="4" t="s">
        <v>13</v>
      </c>
      <c r="D9" s="10"/>
      <c r="E9" s="6">
        <v>0</v>
      </c>
      <c r="F9" s="6">
        <v>1</v>
      </c>
      <c r="G9" s="6">
        <v>4</v>
      </c>
      <c r="H9" s="6">
        <v>2</v>
      </c>
      <c r="I9" s="1">
        <f>SUM(E9:H9)</f>
        <v>7</v>
      </c>
    </row>
    <row r="10" spans="1:12" ht="21.95" customHeight="1" x14ac:dyDescent="0.2">
      <c r="C10" s="4" t="s">
        <v>3</v>
      </c>
      <c r="D10" s="10"/>
      <c r="E10" s="6">
        <f>SUM(E5:E9)</f>
        <v>561</v>
      </c>
      <c r="F10" s="6">
        <f>SUM(F5:F9)</f>
        <v>382</v>
      </c>
      <c r="G10" s="6">
        <f>SUM(G5:G9)</f>
        <v>53</v>
      </c>
      <c r="H10" s="6">
        <f>SUM(H5:H9)</f>
        <v>4</v>
      </c>
      <c r="I10" s="1">
        <f>SUM(I5:I9)</f>
        <v>1000</v>
      </c>
    </row>
    <row r="11" spans="1:12" x14ac:dyDescent="0.2">
      <c r="C11" s="5"/>
      <c r="D11" s="5"/>
      <c r="E11" s="5"/>
      <c r="F11" s="5"/>
      <c r="G11" s="5"/>
      <c r="H11" s="5"/>
      <c r="I11" s="5"/>
    </row>
    <row r="13" spans="1:12" x14ac:dyDescent="0.2">
      <c r="C13" s="14" t="s">
        <v>21</v>
      </c>
      <c r="D13" s="15" t="s">
        <v>22</v>
      </c>
      <c r="E13" s="18" t="s">
        <v>4</v>
      </c>
      <c r="F13" s="19" t="s">
        <v>35</v>
      </c>
      <c r="G13" s="19" t="s">
        <v>36</v>
      </c>
      <c r="H13" s="22" t="s">
        <v>37</v>
      </c>
      <c r="J13" t="s">
        <v>27</v>
      </c>
      <c r="K13">
        <f>G20/E20</f>
        <v>230.01782531194297</v>
      </c>
    </row>
    <row r="14" spans="1:12" x14ac:dyDescent="0.2">
      <c r="C14" s="8" t="s">
        <v>8</v>
      </c>
      <c r="D14" s="9"/>
      <c r="E14" s="20"/>
      <c r="F14" s="21"/>
      <c r="G14" s="21"/>
      <c r="H14" s="22"/>
      <c r="J14" t="s">
        <v>38</v>
      </c>
    </row>
    <row r="15" spans="1:12" x14ac:dyDescent="0.2">
      <c r="C15" s="4" t="s">
        <v>9</v>
      </c>
      <c r="D15" s="10"/>
      <c r="E15" s="6">
        <v>97</v>
      </c>
      <c r="F15" s="1">
        <v>80</v>
      </c>
      <c r="G15" s="1">
        <f>F15*E15</f>
        <v>7760</v>
      </c>
      <c r="H15" s="1">
        <f>E15*(F15)^2</f>
        <v>620800</v>
      </c>
      <c r="J15" t="s">
        <v>39</v>
      </c>
      <c r="K15">
        <f>STDEV(E15:E20,F15:F20)</f>
        <v>256.91625802265537</v>
      </c>
      <c r="L15" s="23">
        <v>85131</v>
      </c>
    </row>
    <row r="16" spans="1:12" x14ac:dyDescent="0.2">
      <c r="C16" s="4" t="s">
        <v>10</v>
      </c>
      <c r="D16" s="10"/>
      <c r="E16" s="6">
        <v>403</v>
      </c>
      <c r="F16" s="1">
        <v>240</v>
      </c>
      <c r="G16" s="1">
        <f t="shared" ref="G16:G19" si="0">F16*E16</f>
        <v>96720</v>
      </c>
      <c r="H16" s="1">
        <f t="shared" ref="H16:H19" si="1">E16*(F16)^2</f>
        <v>23212800</v>
      </c>
    </row>
    <row r="17" spans="3:11" x14ac:dyDescent="0.2">
      <c r="C17" s="4" t="s">
        <v>11</v>
      </c>
      <c r="D17" s="10"/>
      <c r="E17" s="6">
        <v>60</v>
      </c>
      <c r="F17" s="1">
        <v>400</v>
      </c>
      <c r="G17" s="1">
        <f t="shared" si="0"/>
        <v>24000</v>
      </c>
      <c r="H17" s="1">
        <f t="shared" si="1"/>
        <v>9600000</v>
      </c>
    </row>
    <row r="18" spans="3:11" x14ac:dyDescent="0.2">
      <c r="C18" s="4" t="s">
        <v>12</v>
      </c>
      <c r="D18" s="10"/>
      <c r="E18" s="6">
        <v>1</v>
      </c>
      <c r="F18" s="1">
        <v>560</v>
      </c>
      <c r="G18" s="1">
        <f t="shared" si="0"/>
        <v>560</v>
      </c>
      <c r="H18" s="1">
        <f t="shared" si="1"/>
        <v>313600</v>
      </c>
    </row>
    <row r="19" spans="3:11" x14ac:dyDescent="0.2">
      <c r="C19" s="4" t="s">
        <v>13</v>
      </c>
      <c r="D19" s="10"/>
      <c r="E19" s="6">
        <v>0</v>
      </c>
      <c r="F19" s="1">
        <v>720</v>
      </c>
      <c r="G19" s="1">
        <f t="shared" si="0"/>
        <v>0</v>
      </c>
      <c r="H19" s="1">
        <f t="shared" si="1"/>
        <v>0</v>
      </c>
    </row>
    <row r="20" spans="3:11" x14ac:dyDescent="0.2">
      <c r="C20" s="4" t="s">
        <v>3</v>
      </c>
      <c r="D20" s="10"/>
      <c r="E20" s="6">
        <f>SUM(E15:E19)</f>
        <v>561</v>
      </c>
      <c r="F20" s="1"/>
      <c r="G20" s="1">
        <f>SUM(G15:G19)</f>
        <v>129040</v>
      </c>
      <c r="H20" s="1">
        <f>SUM(H15:H19)</f>
        <v>33747200</v>
      </c>
    </row>
    <row r="22" spans="3:11" x14ac:dyDescent="0.2">
      <c r="C22" s="14" t="s">
        <v>21</v>
      </c>
      <c r="D22" s="15" t="s">
        <v>22</v>
      </c>
      <c r="E22" s="18" t="s">
        <v>4</v>
      </c>
      <c r="F22" s="19" t="s">
        <v>35</v>
      </c>
      <c r="G22" s="19" t="s">
        <v>36</v>
      </c>
      <c r="H22" s="22" t="s">
        <v>37</v>
      </c>
      <c r="J22" t="s">
        <v>27</v>
      </c>
      <c r="K22">
        <f>G29/E29</f>
        <v>330.89005235602093</v>
      </c>
    </row>
    <row r="23" spans="3:11" x14ac:dyDescent="0.2">
      <c r="C23" s="8" t="s">
        <v>8</v>
      </c>
      <c r="D23" s="9"/>
      <c r="E23" s="20"/>
      <c r="F23" s="21"/>
      <c r="G23" s="21"/>
      <c r="H23" s="22"/>
    </row>
    <row r="24" spans="3:11" x14ac:dyDescent="0.2">
      <c r="C24" s="4" t="s">
        <v>9</v>
      </c>
      <c r="D24" s="10"/>
      <c r="E24" s="6">
        <v>7</v>
      </c>
      <c r="F24" s="1">
        <v>80</v>
      </c>
      <c r="G24" s="1">
        <f>F24*E24</f>
        <v>560</v>
      </c>
      <c r="H24" s="1">
        <f>E24*(F24)^2</f>
        <v>44800</v>
      </c>
    </row>
    <row r="25" spans="3:11" x14ac:dyDescent="0.2">
      <c r="C25" s="4" t="s">
        <v>10</v>
      </c>
      <c r="D25" s="10"/>
      <c r="E25" s="6">
        <v>171</v>
      </c>
      <c r="F25" s="1">
        <v>240</v>
      </c>
      <c r="G25" s="1">
        <f t="shared" ref="G25:G28" si="2">F25*E25</f>
        <v>41040</v>
      </c>
      <c r="H25" s="1">
        <f t="shared" ref="H25:H28" si="3">E25*(F25)^2</f>
        <v>9849600</v>
      </c>
    </row>
    <row r="26" spans="3:11" x14ac:dyDescent="0.2">
      <c r="C26" s="4" t="s">
        <v>11</v>
      </c>
      <c r="D26" s="10"/>
      <c r="E26" s="6">
        <v>185</v>
      </c>
      <c r="F26" s="1">
        <v>400</v>
      </c>
      <c r="G26" s="1">
        <f t="shared" si="2"/>
        <v>74000</v>
      </c>
      <c r="H26" s="1">
        <f t="shared" si="3"/>
        <v>29600000</v>
      </c>
    </row>
    <row r="27" spans="3:11" x14ac:dyDescent="0.2">
      <c r="C27" s="4" t="s">
        <v>12</v>
      </c>
      <c r="D27" s="10"/>
      <c r="E27" s="6">
        <v>18</v>
      </c>
      <c r="F27" s="1">
        <v>560</v>
      </c>
      <c r="G27" s="1">
        <f t="shared" si="2"/>
        <v>10080</v>
      </c>
      <c r="H27" s="1">
        <f t="shared" si="3"/>
        <v>5644800</v>
      </c>
    </row>
    <row r="28" spans="3:11" x14ac:dyDescent="0.2">
      <c r="C28" s="4" t="s">
        <v>13</v>
      </c>
      <c r="D28" s="10"/>
      <c r="E28" s="6">
        <v>1</v>
      </c>
      <c r="F28" s="1">
        <v>720</v>
      </c>
      <c r="G28" s="1">
        <f t="shared" si="2"/>
        <v>720</v>
      </c>
      <c r="H28" s="1">
        <f t="shared" si="3"/>
        <v>518400</v>
      </c>
    </row>
    <row r="29" spans="3:11" x14ac:dyDescent="0.2">
      <c r="C29" s="4" t="s">
        <v>3</v>
      </c>
      <c r="D29" s="10"/>
      <c r="E29" s="6">
        <f>SUM(E24:E28)</f>
        <v>382</v>
      </c>
      <c r="F29" s="1"/>
      <c r="G29" s="1">
        <f>SUM(G24:G28)</f>
        <v>126400</v>
      </c>
      <c r="H29" s="1">
        <f>SUM(H24:H28)</f>
        <v>45657600</v>
      </c>
    </row>
    <row r="31" spans="3:11" x14ac:dyDescent="0.2">
      <c r="C31" s="14" t="s">
        <v>21</v>
      </c>
      <c r="D31" s="15" t="s">
        <v>22</v>
      </c>
      <c r="E31" s="18" t="s">
        <v>4</v>
      </c>
      <c r="F31" s="19" t="s">
        <v>35</v>
      </c>
      <c r="G31" s="19" t="s">
        <v>36</v>
      </c>
      <c r="H31" s="22" t="s">
        <v>37</v>
      </c>
      <c r="J31" t="s">
        <v>27</v>
      </c>
      <c r="K31">
        <f>G38/E38</f>
        <v>460.37735849056605</v>
      </c>
    </row>
    <row r="32" spans="3:11" x14ac:dyDescent="0.2">
      <c r="C32" s="8" t="s">
        <v>8</v>
      </c>
      <c r="D32" s="9"/>
      <c r="E32" s="20"/>
      <c r="F32" s="21"/>
      <c r="G32" s="21"/>
      <c r="H32" s="22"/>
    </row>
    <row r="33" spans="3:11" x14ac:dyDescent="0.2">
      <c r="C33" s="4" t="s">
        <v>9</v>
      </c>
      <c r="D33" s="10"/>
      <c r="E33" s="6">
        <v>0</v>
      </c>
      <c r="F33" s="1">
        <v>80</v>
      </c>
      <c r="G33" s="1">
        <f>F33*E33</f>
        <v>0</v>
      </c>
      <c r="H33" s="1">
        <f>E33*(F33)^2</f>
        <v>0</v>
      </c>
    </row>
    <row r="34" spans="3:11" x14ac:dyDescent="0.2">
      <c r="C34" s="4" t="s">
        <v>10</v>
      </c>
      <c r="D34" s="10"/>
      <c r="E34" s="6">
        <v>7</v>
      </c>
      <c r="F34" s="1">
        <v>240</v>
      </c>
      <c r="G34" s="1">
        <f t="shared" ref="G34:G37" si="4">F34*E34</f>
        <v>1680</v>
      </c>
      <c r="H34" s="1">
        <f t="shared" ref="H34:H37" si="5">E34*(F34)^2</f>
        <v>403200</v>
      </c>
    </row>
    <row r="35" spans="3:11" x14ac:dyDescent="0.2">
      <c r="C35" s="4" t="s">
        <v>11</v>
      </c>
      <c r="D35" s="10"/>
      <c r="E35" s="6">
        <v>23</v>
      </c>
      <c r="F35" s="1">
        <v>400</v>
      </c>
      <c r="G35" s="1">
        <f t="shared" si="4"/>
        <v>9200</v>
      </c>
      <c r="H35" s="1">
        <f t="shared" si="5"/>
        <v>3680000</v>
      </c>
    </row>
    <row r="36" spans="3:11" x14ac:dyDescent="0.2">
      <c r="C36" s="4" t="s">
        <v>12</v>
      </c>
      <c r="D36" s="10"/>
      <c r="E36" s="6">
        <v>19</v>
      </c>
      <c r="F36" s="1">
        <v>560</v>
      </c>
      <c r="G36" s="1">
        <f t="shared" si="4"/>
        <v>10640</v>
      </c>
      <c r="H36" s="1">
        <f t="shared" si="5"/>
        <v>5958400</v>
      </c>
    </row>
    <row r="37" spans="3:11" x14ac:dyDescent="0.2">
      <c r="C37" s="4" t="s">
        <v>13</v>
      </c>
      <c r="D37" s="10"/>
      <c r="E37" s="6">
        <v>4</v>
      </c>
      <c r="F37" s="1">
        <v>720</v>
      </c>
      <c r="G37" s="1">
        <f t="shared" si="4"/>
        <v>2880</v>
      </c>
      <c r="H37" s="1">
        <f t="shared" si="5"/>
        <v>2073600</v>
      </c>
    </row>
    <row r="38" spans="3:11" x14ac:dyDescent="0.2">
      <c r="C38" s="4" t="s">
        <v>3</v>
      </c>
      <c r="D38" s="10"/>
      <c r="E38" s="6">
        <f>SUM(E33:E37)</f>
        <v>53</v>
      </c>
      <c r="F38" s="1"/>
      <c r="G38" s="1">
        <f>SUM(G33:G37)</f>
        <v>24400</v>
      </c>
      <c r="H38" s="1">
        <f>SUM(H33:H37)</f>
        <v>12115200</v>
      </c>
    </row>
    <row r="40" spans="3:11" x14ac:dyDescent="0.2">
      <c r="C40" s="14" t="s">
        <v>21</v>
      </c>
      <c r="D40" s="15" t="s">
        <v>22</v>
      </c>
      <c r="E40" s="18" t="s">
        <v>4</v>
      </c>
      <c r="F40" s="19" t="s">
        <v>35</v>
      </c>
      <c r="G40" s="19" t="s">
        <v>36</v>
      </c>
      <c r="H40" s="22" t="s">
        <v>37</v>
      </c>
      <c r="J40" t="s">
        <v>27</v>
      </c>
      <c r="K40">
        <f>G47/E47</f>
        <v>600</v>
      </c>
    </row>
    <row r="41" spans="3:11" x14ac:dyDescent="0.2">
      <c r="C41" s="8" t="s">
        <v>8</v>
      </c>
      <c r="D41" s="9"/>
      <c r="E41" s="20"/>
      <c r="F41" s="21"/>
      <c r="G41" s="21"/>
      <c r="H41" s="22"/>
    </row>
    <row r="42" spans="3:11" x14ac:dyDescent="0.2">
      <c r="C42" s="4" t="s">
        <v>9</v>
      </c>
      <c r="D42" s="10"/>
      <c r="E42" s="6">
        <v>0</v>
      </c>
      <c r="F42" s="1">
        <v>80</v>
      </c>
      <c r="G42" s="1">
        <f>F42*E42</f>
        <v>0</v>
      </c>
      <c r="H42" s="1">
        <f>E42*(F42)^2</f>
        <v>0</v>
      </c>
    </row>
    <row r="43" spans="3:11" x14ac:dyDescent="0.2">
      <c r="C43" s="4" t="s">
        <v>10</v>
      </c>
      <c r="D43" s="10"/>
      <c r="E43" s="6">
        <v>0</v>
      </c>
      <c r="F43" s="1">
        <v>240</v>
      </c>
      <c r="G43" s="1">
        <f t="shared" ref="G43:G46" si="6">F43*E43</f>
        <v>0</v>
      </c>
      <c r="H43" s="1">
        <f t="shared" ref="H43:H46" si="7">E43*(F43)^2</f>
        <v>0</v>
      </c>
    </row>
    <row r="44" spans="3:11" x14ac:dyDescent="0.2">
      <c r="C44" s="4" t="s">
        <v>11</v>
      </c>
      <c r="D44" s="10"/>
      <c r="E44" s="6">
        <v>1</v>
      </c>
      <c r="F44" s="1">
        <v>400</v>
      </c>
      <c r="G44" s="1">
        <f t="shared" si="6"/>
        <v>400</v>
      </c>
      <c r="H44" s="1">
        <f t="shared" si="7"/>
        <v>160000</v>
      </c>
    </row>
    <row r="45" spans="3:11" x14ac:dyDescent="0.2">
      <c r="C45" s="4" t="s">
        <v>12</v>
      </c>
      <c r="D45" s="10"/>
      <c r="E45" s="6">
        <v>1</v>
      </c>
      <c r="F45" s="1">
        <v>560</v>
      </c>
      <c r="G45" s="1">
        <f t="shared" si="6"/>
        <v>560</v>
      </c>
      <c r="H45" s="1">
        <f t="shared" si="7"/>
        <v>313600</v>
      </c>
    </row>
    <row r="46" spans="3:11" x14ac:dyDescent="0.2">
      <c r="C46" s="4" t="s">
        <v>13</v>
      </c>
      <c r="D46" s="10"/>
      <c r="E46" s="6">
        <v>2</v>
      </c>
      <c r="F46" s="1">
        <v>720</v>
      </c>
      <c r="G46" s="1">
        <f t="shared" si="6"/>
        <v>1440</v>
      </c>
      <c r="H46" s="1">
        <f t="shared" si="7"/>
        <v>1036800</v>
      </c>
    </row>
    <row r="47" spans="3:11" x14ac:dyDescent="0.2">
      <c r="C47" s="4" t="s">
        <v>3</v>
      </c>
      <c r="D47" s="10"/>
      <c r="E47" s="6">
        <f>SUM(E42:E46)</f>
        <v>4</v>
      </c>
      <c r="F47" s="1"/>
      <c r="G47" s="1">
        <f>SUM(G42:G46)</f>
        <v>2400</v>
      </c>
      <c r="H47" s="1">
        <f>SUM(H42:H46)</f>
        <v>1510400</v>
      </c>
    </row>
  </sheetData>
  <mergeCells count="16">
    <mergeCell ref="E40:E41"/>
    <mergeCell ref="F40:F41"/>
    <mergeCell ref="G40:G41"/>
    <mergeCell ref="H40:H41"/>
    <mergeCell ref="E31:E32"/>
    <mergeCell ref="F31:F32"/>
    <mergeCell ref="G22:G23"/>
    <mergeCell ref="H22:H23"/>
    <mergeCell ref="G31:G32"/>
    <mergeCell ref="H31:H32"/>
    <mergeCell ref="F13:F14"/>
    <mergeCell ref="G13:G14"/>
    <mergeCell ref="E13:E14"/>
    <mergeCell ref="H13:H14"/>
    <mergeCell ref="E22:E23"/>
    <mergeCell ref="F22:F23"/>
  </mergeCells>
  <phoneticPr fontId="3"/>
  <pageMargins left="0.74803149606299213" right="0.74803149606299213" top="0.98425196850393704" bottom="0.98425196850393704" header="0.51181102362204722" footer="0.51181102362204722"/>
  <pageSetup paperSize="0" scale="85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Données Ex1</vt:lpstr>
      <vt:lpstr>EX1_3</vt:lpstr>
      <vt:lpstr>Feuil1</vt:lpstr>
      <vt:lpstr>EX1_1</vt:lpstr>
      <vt:lpstr>Excel2LaTeX</vt:lpstr>
      <vt:lpstr>EX1_2</vt:lpstr>
      <vt:lpstr>Ex2</vt:lpstr>
      <vt:lpstr>'Ex2'!Zone_d_impression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Bougdira</dc:creator>
  <cp:lastModifiedBy>Dorian Bucchiotty</cp:lastModifiedBy>
  <cp:lastPrinted>2010-11-08T08:02:14Z</cp:lastPrinted>
  <dcterms:created xsi:type="dcterms:W3CDTF">2007-05-10T12:51:38Z</dcterms:created>
  <dcterms:modified xsi:type="dcterms:W3CDTF">2023-06-02T07:37:59Z</dcterms:modified>
</cp:coreProperties>
</file>