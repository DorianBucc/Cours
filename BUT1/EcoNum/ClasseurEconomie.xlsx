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ria\Cours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 l="1"/>
  <c r="C43" i="1"/>
  <c r="C44" i="1"/>
  <c r="E9" i="1"/>
  <c r="E14" i="1"/>
  <c r="E16" i="1"/>
  <c r="C18" i="1" l="1"/>
  <c r="E21" i="1" s="1"/>
  <c r="C26" i="1" s="1"/>
  <c r="E29" i="1" s="1"/>
  <c r="D31" i="1" s="1"/>
  <c r="E34" i="1" s="1"/>
  <c r="C38" i="1" s="1"/>
</calcChain>
</file>

<file path=xl/sharedStrings.xml><?xml version="1.0" encoding="utf-8"?>
<sst xmlns="http://schemas.openxmlformats.org/spreadsheetml/2006/main" count="55" uniqueCount="39">
  <si>
    <t>EMPLOIS</t>
  </si>
  <si>
    <t>RESSOURCE</t>
  </si>
  <si>
    <t>Compte de production</t>
  </si>
  <si>
    <t>Consommation intermèdiraire</t>
  </si>
  <si>
    <t>2145,7</t>
  </si>
  <si>
    <t>Production</t>
  </si>
  <si>
    <t>Impôt-sub</t>
  </si>
  <si>
    <t>268,4</t>
  </si>
  <si>
    <t>Compte d'exploitation</t>
  </si>
  <si>
    <t>PIB</t>
  </si>
  <si>
    <t>Solde</t>
  </si>
  <si>
    <t>Solde (EBE)</t>
  </si>
  <si>
    <t>exdent brute d'exploitation</t>
  </si>
  <si>
    <t>EBE</t>
  </si>
  <si>
    <t>Produit interieur brute</t>
  </si>
  <si>
    <t>Compte d'affectation du revenu primaire</t>
  </si>
  <si>
    <t>Rémunération des salarié</t>
  </si>
  <si>
    <t>Révenu de la propriète reçus</t>
  </si>
  <si>
    <t>impôt - subvention</t>
  </si>
  <si>
    <t>Valeur de la production du travail</t>
  </si>
  <si>
    <t>Compte de distribution secondaire des revenus</t>
  </si>
  <si>
    <t>Revenu primaire</t>
  </si>
  <si>
    <t>Impôts courant</t>
  </si>
  <si>
    <t>Cotisation</t>
  </si>
  <si>
    <t>Prestation sociales</t>
  </si>
  <si>
    <t>Autre transfert</t>
  </si>
  <si>
    <t>operation rapartition sur les revenu</t>
  </si>
  <si>
    <t>Revenu de la proprièté versé</t>
  </si>
  <si>
    <t>Compte d'utilisation du revenus</t>
  </si>
  <si>
    <t>Dépense conso</t>
  </si>
  <si>
    <t>Compte de capital</t>
  </si>
  <si>
    <t>Epargne</t>
  </si>
  <si>
    <t>Investissement (FBCF)</t>
  </si>
  <si>
    <t>Variation de stock</t>
  </si>
  <si>
    <t>Acquisition nette d'objet de valeur</t>
  </si>
  <si>
    <t>Impot -sub</t>
  </si>
  <si>
    <t>Conso</t>
  </si>
  <si>
    <t>Prod</t>
  </si>
  <si>
    <t>EX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</si>
</sst>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31" workbookViewId="0">
      <selection activeCell="A43" sqref="A43"/>
    </sheetView>
  </sheetViews>
  <sheetFormatPr baseColWidth="10" defaultRowHeight="15" x14ac:dyDescent="0.25"/>
  <cols>
    <col min="1" max="1" width="11.42578125" style="1"/>
    <col min="2" max="2" width="32.28515625" style="1" bestFit="1" customWidth="1"/>
    <col min="3" max="3" width="7.5703125" style="1" bestFit="1" customWidth="1"/>
    <col min="4" max="4" width="26.85546875" style="1" bestFit="1" customWidth="1"/>
    <col min="5" max="5" width="7" style="1" bestFit="1" customWidth="1"/>
    <col min="6" max="8" width="11.42578125" style="1"/>
    <col min="9" max="9" width="43.7109375" style="1" bestFit="1" customWidth="1"/>
    <col min="10" max="10" width="30.85546875" style="1" bestFit="1" customWidth="1"/>
    <col min="11" max="16384" width="11.42578125" style="1"/>
  </cols>
  <sheetData>
    <row r="1" spans="2:10" ht="15.75" thickBot="1" x14ac:dyDescent="0.3"/>
    <row r="2" spans="2:10" ht="15.75" thickBot="1" x14ac:dyDescent="0.3">
      <c r="B2" s="50" t="s">
        <v>0</v>
      </c>
      <c r="C2" s="51"/>
      <c r="D2" s="50" t="s">
        <v>1</v>
      </c>
      <c r="E2" s="51"/>
    </row>
    <row r="3" spans="2:10" ht="15.75" thickBot="1" x14ac:dyDescent="0.3">
      <c r="B3" s="10" t="s">
        <v>2</v>
      </c>
      <c r="C3" s="49"/>
      <c r="D3" s="49"/>
      <c r="E3" s="11"/>
    </row>
    <row r="4" spans="2:10" ht="15.75" thickBot="1" x14ac:dyDescent="0.3">
      <c r="B4" s="6" t="s">
        <v>3</v>
      </c>
      <c r="C4" s="7" t="s">
        <v>4</v>
      </c>
      <c r="D4" s="7" t="s">
        <v>5</v>
      </c>
      <c r="E4" s="7">
        <v>4315</v>
      </c>
    </row>
    <row r="5" spans="2:10" ht="15.75" thickBot="1" x14ac:dyDescent="0.3">
      <c r="B5" s="3"/>
      <c r="C5" s="5"/>
      <c r="D5" s="7" t="s">
        <v>18</v>
      </c>
      <c r="E5" s="7" t="s">
        <v>7</v>
      </c>
    </row>
    <row r="6" spans="2:10" ht="15.75" thickBot="1" x14ac:dyDescent="0.3">
      <c r="B6" s="6" t="s">
        <v>10</v>
      </c>
      <c r="C6" s="7">
        <v>2437.6999999999998</v>
      </c>
      <c r="D6" s="3"/>
      <c r="E6" s="5"/>
    </row>
    <row r="7" spans="2:10" ht="15.75" thickBot="1" x14ac:dyDescent="0.3">
      <c r="B7" s="2"/>
      <c r="C7" s="2"/>
      <c r="D7" s="2"/>
      <c r="E7" s="2"/>
    </row>
    <row r="8" spans="2:10" ht="15.75" thickBot="1" x14ac:dyDescent="0.3">
      <c r="B8" s="3" t="s">
        <v>8</v>
      </c>
      <c r="C8" s="4"/>
      <c r="D8" s="4"/>
      <c r="E8" s="5"/>
    </row>
    <row r="9" spans="2:10" ht="15.75" thickBot="1" x14ac:dyDescent="0.3">
      <c r="B9" s="6" t="s">
        <v>3</v>
      </c>
      <c r="C9" s="7">
        <v>1242.9000000000001</v>
      </c>
      <c r="D9" s="7" t="s">
        <v>9</v>
      </c>
      <c r="E9" s="7">
        <f>C6</f>
        <v>2437.6999999999998</v>
      </c>
    </row>
    <row r="10" spans="2:10" ht="15.75" thickBot="1" x14ac:dyDescent="0.3">
      <c r="B10" s="6" t="s">
        <v>6</v>
      </c>
      <c r="C10" s="7">
        <v>336.6</v>
      </c>
      <c r="D10" s="8"/>
      <c r="E10" s="9"/>
    </row>
    <row r="11" spans="2:10" ht="15.75" thickBot="1" x14ac:dyDescent="0.3">
      <c r="B11" s="6" t="s">
        <v>11</v>
      </c>
      <c r="C11" s="7">
        <v>858.2</v>
      </c>
      <c r="D11" s="10"/>
      <c r="E11" s="11"/>
    </row>
    <row r="12" spans="2:10" ht="15.75" thickBot="1" x14ac:dyDescent="0.3">
      <c r="I12" s="1" t="s">
        <v>15</v>
      </c>
      <c r="J12" s="1" t="s">
        <v>19</v>
      </c>
    </row>
    <row r="13" spans="2:10" ht="15.75" thickBot="1" x14ac:dyDescent="0.3">
      <c r="B13" s="23" t="s">
        <v>15</v>
      </c>
      <c r="C13" s="19"/>
      <c r="D13" s="19"/>
      <c r="E13" s="20"/>
    </row>
    <row r="14" spans="2:10" x14ac:dyDescent="0.25">
      <c r="B14" s="35"/>
      <c r="C14" s="38"/>
      <c r="D14" s="31" t="s">
        <v>13</v>
      </c>
      <c r="E14" s="22">
        <f>C11</f>
        <v>858.2</v>
      </c>
      <c r="I14" s="1" t="s">
        <v>13</v>
      </c>
      <c r="J14" s="1" t="s">
        <v>12</v>
      </c>
    </row>
    <row r="15" spans="2:10" x14ac:dyDescent="0.25">
      <c r="B15" s="36"/>
      <c r="C15" s="39"/>
      <c r="D15" s="32" t="s">
        <v>16</v>
      </c>
      <c r="E15" s="14">
        <v>1264.5</v>
      </c>
      <c r="I15" s="1" t="s">
        <v>9</v>
      </c>
      <c r="J15" s="1" t="s">
        <v>14</v>
      </c>
    </row>
    <row r="16" spans="2:10" ht="15.75" thickBot="1" x14ac:dyDescent="0.3">
      <c r="B16" s="37"/>
      <c r="C16" s="45"/>
      <c r="D16" s="33" t="s">
        <v>18</v>
      </c>
      <c r="E16" s="26">
        <f>407-66.9</f>
        <v>340.1</v>
      </c>
    </row>
    <row r="17" spans="2:9" ht="15.75" thickBot="1" x14ac:dyDescent="0.3">
      <c r="B17" s="47" t="s">
        <v>27</v>
      </c>
      <c r="C17" s="48">
        <v>568</v>
      </c>
      <c r="D17" s="34" t="s">
        <v>17</v>
      </c>
      <c r="E17" s="27">
        <v>595.1</v>
      </c>
    </row>
    <row r="18" spans="2:9" ht="15.75" thickBot="1" x14ac:dyDescent="0.3">
      <c r="B18" s="15" t="s">
        <v>10</v>
      </c>
      <c r="C18" s="24">
        <f>SUM(E14:E17)-C17</f>
        <v>2489.8999999999996</v>
      </c>
      <c r="I18" s="1" t="s">
        <v>26</v>
      </c>
    </row>
    <row r="19" spans="2:9" ht="15.75" thickBot="1" x14ac:dyDescent="0.3">
      <c r="I19" s="1" t="s">
        <v>20</v>
      </c>
    </row>
    <row r="20" spans="2:9" ht="15.75" thickBot="1" x14ac:dyDescent="0.3">
      <c r="B20" s="23" t="s">
        <v>20</v>
      </c>
      <c r="C20" s="19"/>
      <c r="D20" s="19"/>
      <c r="E20" s="20"/>
    </row>
    <row r="21" spans="2:9" x14ac:dyDescent="0.25">
      <c r="B21" s="21"/>
      <c r="C21" s="22"/>
      <c r="D21" s="21" t="s">
        <v>21</v>
      </c>
      <c r="E21" s="22">
        <f>C18</f>
        <v>2489.8999999999996</v>
      </c>
    </row>
    <row r="22" spans="2:9" x14ac:dyDescent="0.25">
      <c r="B22" s="13" t="s">
        <v>22</v>
      </c>
      <c r="C22" s="14">
        <v>313.10000000000002</v>
      </c>
      <c r="D22" s="13" t="s">
        <v>22</v>
      </c>
      <c r="E22" s="14">
        <v>318.5</v>
      </c>
    </row>
    <row r="23" spans="2:9" x14ac:dyDescent="0.25">
      <c r="B23" s="13" t="s">
        <v>23</v>
      </c>
      <c r="C23" s="14">
        <v>463.9</v>
      </c>
      <c r="D23" s="13" t="s">
        <v>23</v>
      </c>
      <c r="E23" s="14">
        <v>456.4</v>
      </c>
    </row>
    <row r="24" spans="2:9" x14ac:dyDescent="0.25">
      <c r="B24" s="28" t="s">
        <v>24</v>
      </c>
      <c r="C24" s="29">
        <v>522</v>
      </c>
      <c r="D24" s="28" t="s">
        <v>24</v>
      </c>
      <c r="E24" s="29">
        <v>519.79999999999995</v>
      </c>
    </row>
    <row r="25" spans="2:9" ht="15.75" thickBot="1" x14ac:dyDescent="0.3">
      <c r="B25" s="13" t="s">
        <v>25</v>
      </c>
      <c r="C25" s="14">
        <v>745.6</v>
      </c>
      <c r="D25" s="28" t="s">
        <v>25</v>
      </c>
      <c r="E25" s="29">
        <v>703.8</v>
      </c>
    </row>
    <row r="26" spans="2:9" ht="15.75" thickBot="1" x14ac:dyDescent="0.3">
      <c r="B26" s="15" t="s">
        <v>10</v>
      </c>
      <c r="C26" s="16">
        <f>SUM(E21:E25)-SUM(C22:C25)</f>
        <v>2443.7999999999997</v>
      </c>
      <c r="D26" s="42"/>
      <c r="E26" s="41"/>
    </row>
    <row r="27" spans="2:9" ht="15.75" thickBot="1" x14ac:dyDescent="0.3"/>
    <row r="28" spans="2:9" ht="15.75" thickBot="1" x14ac:dyDescent="0.3">
      <c r="B28" s="23" t="s">
        <v>28</v>
      </c>
      <c r="C28" s="19"/>
      <c r="D28" s="19"/>
      <c r="E28" s="20"/>
    </row>
    <row r="29" spans="2:9" x14ac:dyDescent="0.25">
      <c r="B29" s="35"/>
      <c r="C29" s="38"/>
      <c r="D29" s="31" t="s">
        <v>10</v>
      </c>
      <c r="E29" s="22">
        <f>C26</f>
        <v>2443.7999999999997</v>
      </c>
    </row>
    <row r="30" spans="2:9" ht="15.75" thickBot="1" x14ac:dyDescent="0.3">
      <c r="B30" s="37"/>
      <c r="C30" s="45"/>
      <c r="D30" s="32" t="s">
        <v>29</v>
      </c>
      <c r="E30" s="29">
        <v>1867.1</v>
      </c>
    </row>
    <row r="31" spans="2:9" ht="15.75" thickBot="1" x14ac:dyDescent="0.3">
      <c r="B31" s="42" t="s">
        <v>10</v>
      </c>
      <c r="C31" s="43"/>
      <c r="D31" s="40">
        <f>E29-E30</f>
        <v>576.69999999999982</v>
      </c>
      <c r="E31" s="41"/>
    </row>
    <row r="32" spans="2:9" ht="15.75" thickBot="1" x14ac:dyDescent="0.3"/>
    <row r="33" spans="1:5" ht="15.75" thickBot="1" x14ac:dyDescent="0.3">
      <c r="B33" s="35" t="s">
        <v>30</v>
      </c>
      <c r="C33" s="44"/>
      <c r="D33" s="44"/>
      <c r="E33" s="38"/>
    </row>
    <row r="34" spans="1:5" ht="15.75" thickBot="1" x14ac:dyDescent="0.3">
      <c r="B34" s="42"/>
      <c r="C34" s="41"/>
      <c r="D34" s="46" t="s">
        <v>31</v>
      </c>
      <c r="E34" s="25">
        <f>D31</f>
        <v>576.69999999999982</v>
      </c>
    </row>
    <row r="35" spans="1:5" x14ac:dyDescent="0.25">
      <c r="B35" s="30" t="s">
        <v>32</v>
      </c>
      <c r="C35" s="12">
        <v>572.29999999999995</v>
      </c>
      <c r="D35" s="35"/>
      <c r="E35" s="38"/>
    </row>
    <row r="36" spans="1:5" x14ac:dyDescent="0.25">
      <c r="B36" s="13" t="s">
        <v>33</v>
      </c>
      <c r="C36" s="17">
        <v>20.8</v>
      </c>
      <c r="D36" s="36"/>
      <c r="E36" s="39"/>
    </row>
    <row r="37" spans="1:5" x14ac:dyDescent="0.25">
      <c r="B37" s="13" t="s">
        <v>34</v>
      </c>
      <c r="C37" s="17">
        <v>0.8</v>
      </c>
      <c r="D37" s="36"/>
      <c r="E37" s="39"/>
    </row>
    <row r="38" spans="1:5" ht="15.75" thickBot="1" x14ac:dyDescent="0.3">
      <c r="B38" s="15" t="s">
        <v>10</v>
      </c>
      <c r="C38" s="18">
        <f>E34-SUM(C35:C37)</f>
        <v>-17.200000000000045</v>
      </c>
      <c r="D38" s="37"/>
      <c r="E38" s="45"/>
    </row>
    <row r="42" spans="1:5" x14ac:dyDescent="0.25">
      <c r="A42" s="1" t="s">
        <v>38</v>
      </c>
    </row>
    <row r="43" spans="1:5" x14ac:dyDescent="0.25">
      <c r="B43" s="1" t="s">
        <v>35</v>
      </c>
      <c r="C43" s="1">
        <f>291.9-23.5</f>
        <v>268.39999999999998</v>
      </c>
    </row>
    <row r="44" spans="1:5" x14ac:dyDescent="0.25">
      <c r="B44" s="1" t="s">
        <v>36</v>
      </c>
      <c r="C44" s="1">
        <f>2145.7</f>
        <v>2145.6999999999998</v>
      </c>
    </row>
    <row r="45" spans="1:5" x14ac:dyDescent="0.25">
      <c r="B45" s="1" t="s">
        <v>37</v>
      </c>
      <c r="C45" s="1">
        <v>4315</v>
      </c>
    </row>
    <row r="46" spans="1:5" x14ac:dyDescent="0.25">
      <c r="B46" s="1" t="s">
        <v>9</v>
      </c>
      <c r="C46" s="1">
        <f>C45-C44+C43</f>
        <v>2437.7000000000003</v>
      </c>
    </row>
  </sheetData>
  <mergeCells count="18">
    <mergeCell ref="B33:E33"/>
    <mergeCell ref="D35:E38"/>
    <mergeCell ref="B34:C34"/>
    <mergeCell ref="B5:C5"/>
    <mergeCell ref="D6:E6"/>
    <mergeCell ref="B2:C2"/>
    <mergeCell ref="D2:E2"/>
    <mergeCell ref="B28:E28"/>
    <mergeCell ref="B29:C30"/>
    <mergeCell ref="D26:E26"/>
    <mergeCell ref="B14:C16"/>
    <mergeCell ref="D31:E31"/>
    <mergeCell ref="B31:C31"/>
    <mergeCell ref="B3:E3"/>
    <mergeCell ref="B8:E8"/>
    <mergeCell ref="D10:E11"/>
    <mergeCell ref="B13:E13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Bucchiotty</dc:creator>
  <cp:lastModifiedBy>Dorian Bucchiotty</cp:lastModifiedBy>
  <dcterms:created xsi:type="dcterms:W3CDTF">2023-01-03T09:22:45Z</dcterms:created>
  <dcterms:modified xsi:type="dcterms:W3CDTF">2023-01-03T10:50:22Z</dcterms:modified>
</cp:coreProperties>
</file>