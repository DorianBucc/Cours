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B39" i="1" l="1"/>
  <c r="B30" i="1" l="1"/>
  <c r="E26" i="1" l="1"/>
  <c r="G26" i="1"/>
  <c r="B42" i="1"/>
  <c r="F26" i="1"/>
  <c r="I26" i="1" l="1"/>
  <c r="H26" i="1"/>
  <c r="B32" i="1" l="1"/>
  <c r="B31" i="1"/>
  <c r="D26" i="1"/>
  <c r="B41" i="1" l="1"/>
  <c r="B36" i="1" l="1"/>
  <c r="F28" i="1" l="1"/>
  <c r="I4" i="1" l="1"/>
  <c r="H4" i="1"/>
  <c r="G4" i="1"/>
  <c r="F4" i="1"/>
  <c r="E4" i="1"/>
  <c r="B17" i="1"/>
  <c r="B16" i="1"/>
  <c r="B15" i="1"/>
  <c r="B14" i="1"/>
  <c r="B13" i="1"/>
  <c r="B12" i="1"/>
  <c r="B11" i="1"/>
  <c r="B7" i="1"/>
  <c r="D42" i="1" l="1"/>
  <c r="F41" i="1"/>
  <c r="G41" i="1"/>
  <c r="H41" i="1"/>
  <c r="I41" i="1"/>
  <c r="I43" i="1"/>
  <c r="I42" i="1"/>
  <c r="H42" i="1"/>
  <c r="F42" i="1"/>
  <c r="G39" i="1"/>
  <c r="H39" i="1"/>
  <c r="E38" i="1"/>
  <c r="H36" i="1"/>
  <c r="G37" i="1"/>
  <c r="F34" i="1"/>
  <c r="D32" i="1"/>
  <c r="H32" i="1"/>
  <c r="I31" i="1"/>
  <c r="H31" i="1"/>
  <c r="D31" i="1"/>
  <c r="E30" i="1"/>
  <c r="D30" i="1"/>
  <c r="E28" i="1"/>
  <c r="G28" i="1"/>
  <c r="H28" i="1"/>
  <c r="I28" i="1"/>
  <c r="D28" i="1"/>
  <c r="I40" i="1"/>
  <c r="E36" i="1"/>
  <c r="G35" i="1"/>
  <c r="F33" i="1"/>
  <c r="E33" i="1"/>
  <c r="F44" i="1" l="1"/>
  <c r="F45" i="1" s="1"/>
  <c r="G44" i="1"/>
  <c r="G45" i="1" s="1"/>
  <c r="H44" i="1"/>
  <c r="H45" i="1" s="1"/>
  <c r="E44" i="1"/>
  <c r="E45" i="1" s="1"/>
  <c r="D44" i="1"/>
  <c r="D45" i="1" s="1"/>
  <c r="I44" i="1"/>
  <c r="I45" i="1" s="1"/>
  <c r="D7" i="1"/>
  <c r="H8" i="1"/>
  <c r="I5" i="1"/>
  <c r="F5" i="1"/>
  <c r="I18" i="1"/>
  <c r="I17" i="1"/>
  <c r="H14" i="1"/>
  <c r="G11" i="1"/>
  <c r="F10" i="1"/>
  <c r="F9" i="1"/>
  <c r="E13" i="1"/>
  <c r="G15" i="1"/>
  <c r="E12" i="1"/>
  <c r="E10" i="1"/>
  <c r="I15" i="1"/>
  <c r="F17" i="1"/>
  <c r="H17" i="1"/>
  <c r="I16" i="1"/>
  <c r="E5" i="1"/>
  <c r="H5" i="1"/>
  <c r="D5" i="1"/>
  <c r="G5" i="1"/>
  <c r="B45" i="1" l="1"/>
  <c r="H19" i="1"/>
  <c r="H20" i="1" s="1"/>
  <c r="H53" i="1" s="1"/>
  <c r="D8" i="1"/>
  <c r="I14" i="1"/>
  <c r="D16" i="1"/>
  <c r="F16" i="1"/>
  <c r="F19" i="1" s="1"/>
  <c r="F20" i="1" s="1"/>
  <c r="F53" i="1" s="1"/>
  <c r="I8" i="1"/>
  <c r="E7" i="1"/>
  <c r="E9" i="1"/>
  <c r="G12" i="1"/>
  <c r="G19" i="1" s="1"/>
  <c r="G20" i="1" s="1"/>
  <c r="G53" i="1" s="1"/>
  <c r="I19" i="1" l="1"/>
  <c r="I20" i="1" s="1"/>
  <c r="I53" i="1" s="1"/>
  <c r="D19" i="1"/>
  <c r="D20" i="1" s="1"/>
  <c r="D53" i="1" s="1"/>
  <c r="E19" i="1"/>
  <c r="E20" i="1" s="1"/>
  <c r="E53" i="1" s="1"/>
  <c r="B20" i="1" l="1"/>
</calcChain>
</file>

<file path=xl/sharedStrings.xml><?xml version="1.0" encoding="utf-8"?>
<sst xmlns="http://schemas.openxmlformats.org/spreadsheetml/2006/main" count="95" uniqueCount="65">
  <si>
    <t>UE1.1</t>
  </si>
  <si>
    <t>UE1.2</t>
  </si>
  <si>
    <t>UE1.3</t>
  </si>
  <si>
    <t>UE1.4</t>
  </si>
  <si>
    <t>UE1.5</t>
  </si>
  <si>
    <t>UE1.6</t>
  </si>
  <si>
    <t>R1.10</t>
  </si>
  <si>
    <t>R1.09</t>
  </si>
  <si>
    <t>R1.08</t>
  </si>
  <si>
    <t>R1.07</t>
  </si>
  <si>
    <t>R1.06</t>
  </si>
  <si>
    <t>R1.05</t>
  </si>
  <si>
    <t>R1.04</t>
  </si>
  <si>
    <t>R1.03</t>
  </si>
  <si>
    <t>R1.02</t>
  </si>
  <si>
    <t>R1.01</t>
  </si>
  <si>
    <t>R1.11</t>
  </si>
  <si>
    <t>R1.12</t>
  </si>
  <si>
    <t>à remplir</t>
  </si>
  <si>
    <t>Note Saé :</t>
  </si>
  <si>
    <t>Moyenne</t>
  </si>
  <si>
    <t>Matière</t>
  </si>
  <si>
    <t>Moyenne Général</t>
  </si>
  <si>
    <t>SEMESTRE 1</t>
  </si>
  <si>
    <t>SEMESTRE 2</t>
  </si>
  <si>
    <t>Portfolio :</t>
  </si>
  <si>
    <t>R2.01</t>
  </si>
  <si>
    <t>R2.02</t>
  </si>
  <si>
    <t>R2.03</t>
  </si>
  <si>
    <t>R2.04</t>
  </si>
  <si>
    <t>R2.05</t>
  </si>
  <si>
    <t>R2.06</t>
  </si>
  <si>
    <t>R2.07</t>
  </si>
  <si>
    <t>R2.08</t>
  </si>
  <si>
    <t>R2.09</t>
  </si>
  <si>
    <t>R2.10</t>
  </si>
  <si>
    <t>R2.11</t>
  </si>
  <si>
    <t>R2.12</t>
  </si>
  <si>
    <t>R2.14</t>
  </si>
  <si>
    <t>R2.13</t>
  </si>
  <si>
    <t>Résultat Fin d'année</t>
  </si>
  <si>
    <t>Initiation au développement</t>
  </si>
  <si>
    <t>Développement d'interfaces web</t>
  </si>
  <si>
    <t>Intro à l'architecture des ordinateurs</t>
  </si>
  <si>
    <t>Intro au OS et à leur fonctionnement</t>
  </si>
  <si>
    <t>Intro aux base de données et SQL</t>
  </si>
  <si>
    <t>Mathématiques discrètes</t>
  </si>
  <si>
    <t>Outils mathématiques fondamentaux</t>
  </si>
  <si>
    <t>Gestion de projet et des organisations</t>
  </si>
  <si>
    <t>Economie durable et numérique</t>
  </si>
  <si>
    <t>Anglais technique</t>
  </si>
  <si>
    <t>Bases de la communication</t>
  </si>
  <si>
    <t>Projet professionnel et personnel</t>
  </si>
  <si>
    <t>Développement orienté objets</t>
  </si>
  <si>
    <t>Développement d'applications avec IHM</t>
  </si>
  <si>
    <t>Qualité de développement</t>
  </si>
  <si>
    <t>Comm et fonctionnement bas niveau</t>
  </si>
  <si>
    <t>Introduction au services réseaux</t>
  </si>
  <si>
    <t>Exploitation d'une base de données</t>
  </si>
  <si>
    <t>Graphes</t>
  </si>
  <si>
    <t>Outils numériques pour les statistiques desc</t>
  </si>
  <si>
    <t>Méthodes Numérique</t>
  </si>
  <si>
    <t>Droit des contrats et du numérique</t>
  </si>
  <si>
    <t>Anglais d'entreprise</t>
  </si>
  <si>
    <t>Communication avec le millieu professionnel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</si>
</sst>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3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3" borderId="11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2" fontId="0" fillId="3" borderId="25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2" fontId="0" fillId="5" borderId="18" xfId="0" applyNumberFormat="1" applyFill="1" applyBorder="1" applyAlignment="1">
      <alignment horizontal="center" vertical="center"/>
    </xf>
    <xf numFmtId="2" fontId="0" fillId="5" borderId="11" xfId="0" applyNumberFormat="1" applyFill="1" applyBorder="1" applyAlignment="1">
      <alignment horizontal="center" vertical="center"/>
    </xf>
    <xf numFmtId="2" fontId="0" fillId="5" borderId="12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6" borderId="26" xfId="0" applyFill="1" applyBorder="1" applyAlignment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tabSelected="1" topLeftCell="A17" zoomScaleNormal="100" workbookViewId="0">
      <selection activeCell="F40" sqref="F40"/>
    </sheetView>
  </sheetViews>
  <sheetFormatPr baseColWidth="10" defaultColWidth="9.140625" defaultRowHeight="15" x14ac:dyDescent="0.25"/>
  <cols>
    <col min="1" max="1" width="41.85546875" style="2" bestFit="1" customWidth="1"/>
    <col min="2" max="2" width="9.42578125" style="2" bestFit="1" customWidth="1"/>
    <col min="3" max="3" width="10" style="2" bestFit="1" customWidth="1"/>
    <col min="4" max="16384" width="9.140625" style="2"/>
  </cols>
  <sheetData>
    <row r="1" spans="1:19" ht="23.25" x14ac:dyDescent="0.25">
      <c r="A1" s="60" t="s">
        <v>23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53"/>
    </row>
    <row r="2" spans="1:19" ht="15.75" thickBo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 spans="1:19" ht="15.75" thickBot="1" x14ac:dyDescent="0.3">
      <c r="A3" s="53"/>
      <c r="B3" s="53"/>
      <c r="C3" s="51"/>
      <c r="D3" s="3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5" t="s">
        <v>5</v>
      </c>
      <c r="J3" s="53"/>
      <c r="K3" s="9" t="s">
        <v>0</v>
      </c>
      <c r="L3" s="10" t="s">
        <v>1</v>
      </c>
      <c r="M3" s="10" t="s">
        <v>2</v>
      </c>
      <c r="N3" s="10" t="s">
        <v>3</v>
      </c>
      <c r="O3" s="10" t="s">
        <v>4</v>
      </c>
      <c r="P3" s="11" t="s">
        <v>5</v>
      </c>
      <c r="Q3" s="53"/>
    </row>
    <row r="4" spans="1:19" x14ac:dyDescent="0.25">
      <c r="A4" s="53"/>
      <c r="B4" s="53"/>
      <c r="C4" s="1" t="s">
        <v>19</v>
      </c>
      <c r="D4" s="47">
        <v>16</v>
      </c>
      <c r="E4" s="48">
        <f>(16.5*2+5.75*2+16*6)/10</f>
        <v>14.05</v>
      </c>
      <c r="F4" s="48">
        <f>(9.75+17*3)/4</f>
        <v>15.1875</v>
      </c>
      <c r="G4" s="48">
        <f>(7.5*2+17.5*2+10.5*2+13*4)/10</f>
        <v>12.3</v>
      </c>
      <c r="H4" s="48">
        <f>(14+13*2+9*3)/6</f>
        <v>11.166666666666666</v>
      </c>
      <c r="I4" s="49">
        <f>(13+16+13.75*3)/5</f>
        <v>14.05</v>
      </c>
      <c r="J4" s="53"/>
      <c r="K4" s="12"/>
      <c r="L4" s="13"/>
      <c r="M4" s="13"/>
      <c r="N4" s="13"/>
      <c r="O4" s="13"/>
      <c r="P4" s="14"/>
      <c r="Q4" s="53"/>
      <c r="S4" s="31" t="s">
        <v>18</v>
      </c>
    </row>
    <row r="5" spans="1:19" ht="15.75" thickBot="1" x14ac:dyDescent="0.3">
      <c r="A5" s="57"/>
      <c r="B5" s="57"/>
      <c r="D5" s="20">
        <f t="shared" ref="D5:I5" si="0">(D4*K5)/K5</f>
        <v>16</v>
      </c>
      <c r="E5" s="21">
        <f t="shared" si="0"/>
        <v>14.05</v>
      </c>
      <c r="F5" s="21">
        <f t="shared" si="0"/>
        <v>15.1875</v>
      </c>
      <c r="G5" s="21">
        <f t="shared" si="0"/>
        <v>12.3</v>
      </c>
      <c r="H5" s="21">
        <f t="shared" si="0"/>
        <v>11.166666666666666</v>
      </c>
      <c r="I5" s="22">
        <f t="shared" si="0"/>
        <v>14.05</v>
      </c>
      <c r="J5" s="53"/>
      <c r="K5" s="17">
        <v>40</v>
      </c>
      <c r="L5" s="18">
        <v>40</v>
      </c>
      <c r="M5" s="18">
        <v>40</v>
      </c>
      <c r="N5" s="18">
        <v>40</v>
      </c>
      <c r="O5" s="18">
        <v>40</v>
      </c>
      <c r="P5" s="19">
        <v>40</v>
      </c>
      <c r="Q5" s="53"/>
    </row>
    <row r="6" spans="1:19" ht="14.25" customHeight="1" thickBot="1" x14ac:dyDescent="0.3">
      <c r="A6" s="1" t="s">
        <v>21</v>
      </c>
      <c r="B6" s="1" t="s">
        <v>20</v>
      </c>
      <c r="C6" s="58"/>
      <c r="D6" s="53"/>
      <c r="E6" s="53"/>
      <c r="F6" s="53"/>
      <c r="G6" s="53"/>
      <c r="H6" s="53"/>
      <c r="I6" s="53"/>
      <c r="J6" s="53"/>
      <c r="K6" s="59"/>
      <c r="L6" s="59"/>
      <c r="M6" s="59"/>
      <c r="N6" s="59"/>
      <c r="O6" s="59"/>
      <c r="P6" s="59"/>
      <c r="Q6" s="53"/>
    </row>
    <row r="7" spans="1:19" x14ac:dyDescent="0.25">
      <c r="A7" s="1" t="s">
        <v>41</v>
      </c>
      <c r="B7" s="46">
        <f>(15.25+10.5+18.75+15)/4</f>
        <v>14.875</v>
      </c>
      <c r="C7" s="8" t="s">
        <v>15</v>
      </c>
      <c r="D7" s="25">
        <f>B7</f>
        <v>14.875</v>
      </c>
      <c r="E7" s="27">
        <f>B7</f>
        <v>14.875</v>
      </c>
      <c r="F7" s="27"/>
      <c r="G7" s="27"/>
      <c r="H7" s="27"/>
      <c r="I7" s="28"/>
      <c r="J7" s="53"/>
      <c r="K7" s="12">
        <v>42</v>
      </c>
      <c r="L7" s="13">
        <v>24</v>
      </c>
      <c r="M7" s="13"/>
      <c r="N7" s="13"/>
      <c r="O7" s="13"/>
      <c r="P7" s="14"/>
      <c r="Q7" s="53"/>
    </row>
    <row r="8" spans="1:19" x14ac:dyDescent="0.25">
      <c r="A8" s="1" t="s">
        <v>42</v>
      </c>
      <c r="B8" s="46">
        <v>17.25</v>
      </c>
      <c r="C8" s="8" t="s">
        <v>14</v>
      </c>
      <c r="D8" s="23">
        <f>B8</f>
        <v>17.25</v>
      </c>
      <c r="E8" s="6"/>
      <c r="F8" s="6"/>
      <c r="G8" s="6"/>
      <c r="H8" s="6">
        <f>B8</f>
        <v>17.25</v>
      </c>
      <c r="I8" s="26">
        <f>B8</f>
        <v>17.25</v>
      </c>
      <c r="J8" s="53"/>
      <c r="K8" s="15">
        <v>12</v>
      </c>
      <c r="L8" s="1"/>
      <c r="M8" s="1"/>
      <c r="N8" s="1"/>
      <c r="O8" s="1">
        <v>18</v>
      </c>
      <c r="P8" s="16">
        <v>5</v>
      </c>
      <c r="Q8" s="53"/>
    </row>
    <row r="9" spans="1:19" x14ac:dyDescent="0.25">
      <c r="A9" s="1" t="s">
        <v>43</v>
      </c>
      <c r="B9" s="46">
        <v>8.8000000000000007</v>
      </c>
      <c r="C9" s="8" t="s">
        <v>13</v>
      </c>
      <c r="D9" s="29"/>
      <c r="E9" s="6">
        <f>B9</f>
        <v>8.8000000000000007</v>
      </c>
      <c r="F9" s="6">
        <f>B9</f>
        <v>8.8000000000000007</v>
      </c>
      <c r="G9" s="6"/>
      <c r="H9" s="6"/>
      <c r="I9" s="26"/>
      <c r="J9" s="53"/>
      <c r="K9" s="15"/>
      <c r="L9" s="1">
        <v>3</v>
      </c>
      <c r="M9" s="1">
        <v>21</v>
      </c>
      <c r="N9" s="1"/>
      <c r="O9" s="1"/>
      <c r="P9" s="16"/>
      <c r="Q9" s="53"/>
    </row>
    <row r="10" spans="1:19" x14ac:dyDescent="0.25">
      <c r="A10" s="1" t="s">
        <v>44</v>
      </c>
      <c r="B10" s="46">
        <v>18.5</v>
      </c>
      <c r="C10" s="8" t="s">
        <v>12</v>
      </c>
      <c r="D10" s="29"/>
      <c r="E10" s="6">
        <f>B10</f>
        <v>18.5</v>
      </c>
      <c r="F10" s="6">
        <f>B10</f>
        <v>18.5</v>
      </c>
      <c r="G10" s="6"/>
      <c r="H10" s="6"/>
      <c r="I10" s="26"/>
      <c r="J10" s="53"/>
      <c r="K10" s="15"/>
      <c r="L10" s="1">
        <v>3</v>
      </c>
      <c r="M10" s="1">
        <v>21</v>
      </c>
      <c r="N10" s="1"/>
      <c r="O10" s="1"/>
      <c r="P10" s="16"/>
      <c r="Q10" s="53"/>
    </row>
    <row r="11" spans="1:19" x14ac:dyDescent="0.25">
      <c r="A11" s="1" t="s">
        <v>45</v>
      </c>
      <c r="B11" s="46">
        <f>(17+14)/2</f>
        <v>15.5</v>
      </c>
      <c r="C11" s="8" t="s">
        <v>11</v>
      </c>
      <c r="D11" s="29"/>
      <c r="E11" s="6"/>
      <c r="F11" s="6"/>
      <c r="G11" s="6">
        <f>B11</f>
        <v>15.5</v>
      </c>
      <c r="H11" s="6"/>
      <c r="I11" s="26"/>
      <c r="J11" s="53"/>
      <c r="K11" s="15"/>
      <c r="L11" s="1"/>
      <c r="M11" s="1"/>
      <c r="N11" s="1">
        <v>36</v>
      </c>
      <c r="O11" s="1"/>
      <c r="P11" s="16"/>
      <c r="Q11" s="53"/>
    </row>
    <row r="12" spans="1:19" x14ac:dyDescent="0.25">
      <c r="A12" s="1" t="s">
        <v>46</v>
      </c>
      <c r="B12" s="46">
        <f>(16.5+11+11.25)/3</f>
        <v>12.916666666666666</v>
      </c>
      <c r="C12" s="8" t="s">
        <v>10</v>
      </c>
      <c r="D12" s="29"/>
      <c r="E12" s="6">
        <f>B12</f>
        <v>12.916666666666666</v>
      </c>
      <c r="F12" s="6"/>
      <c r="G12" s="6">
        <f>B12</f>
        <v>12.916666666666666</v>
      </c>
      <c r="H12" s="6"/>
      <c r="I12" s="26"/>
      <c r="J12" s="53"/>
      <c r="K12" s="15"/>
      <c r="L12" s="1">
        <v>15</v>
      </c>
      <c r="M12" s="1"/>
      <c r="N12" s="1">
        <v>18</v>
      </c>
      <c r="O12" s="1"/>
      <c r="P12" s="16"/>
      <c r="Q12" s="53"/>
    </row>
    <row r="13" spans="1:19" x14ac:dyDescent="0.25">
      <c r="A13" s="1" t="s">
        <v>47</v>
      </c>
      <c r="B13" s="46">
        <f>(14.5+8.75)/2</f>
        <v>11.625</v>
      </c>
      <c r="C13" s="8" t="s">
        <v>9</v>
      </c>
      <c r="D13" s="29"/>
      <c r="E13" s="6">
        <f>B13</f>
        <v>11.625</v>
      </c>
      <c r="F13" s="6"/>
      <c r="G13" s="6"/>
      <c r="H13" s="6"/>
      <c r="I13" s="26"/>
      <c r="J13" s="53"/>
      <c r="K13" s="15"/>
      <c r="L13" s="1">
        <v>15</v>
      </c>
      <c r="M13" s="1"/>
      <c r="N13" s="1"/>
      <c r="O13" s="1"/>
      <c r="P13" s="16"/>
      <c r="Q13" s="53"/>
    </row>
    <row r="14" spans="1:19" x14ac:dyDescent="0.25">
      <c r="A14" s="1" t="s">
        <v>48</v>
      </c>
      <c r="B14" s="46">
        <f>(6*2+10)/3</f>
        <v>7.333333333333333</v>
      </c>
      <c r="C14" s="8" t="s">
        <v>8</v>
      </c>
      <c r="D14" s="29"/>
      <c r="E14" s="6"/>
      <c r="F14" s="6"/>
      <c r="G14" s="6"/>
      <c r="H14" s="6">
        <f>B14</f>
        <v>7.333333333333333</v>
      </c>
      <c r="I14" s="26">
        <f>B14</f>
        <v>7.333333333333333</v>
      </c>
      <c r="J14" s="53"/>
      <c r="K14" s="15"/>
      <c r="L14" s="1"/>
      <c r="M14" s="1"/>
      <c r="N14" s="1"/>
      <c r="O14" s="1">
        <v>27</v>
      </c>
      <c r="P14" s="16">
        <v>11</v>
      </c>
      <c r="Q14" s="53"/>
    </row>
    <row r="15" spans="1:19" x14ac:dyDescent="0.25">
      <c r="A15" s="1" t="s">
        <v>49</v>
      </c>
      <c r="B15" s="46">
        <f>(10*2+11.5)/3</f>
        <v>10.5</v>
      </c>
      <c r="C15" s="8" t="s">
        <v>7</v>
      </c>
      <c r="D15" s="29"/>
      <c r="E15" s="6"/>
      <c r="F15" s="6"/>
      <c r="G15" s="6">
        <f>B15</f>
        <v>10.5</v>
      </c>
      <c r="H15" s="6"/>
      <c r="I15" s="26">
        <f>B15</f>
        <v>10.5</v>
      </c>
      <c r="J15" s="53"/>
      <c r="K15" s="15"/>
      <c r="L15" s="1"/>
      <c r="M15" s="1"/>
      <c r="N15" s="1">
        <v>6</v>
      </c>
      <c r="O15" s="1"/>
      <c r="P15" s="16">
        <v>11</v>
      </c>
      <c r="Q15" s="53"/>
    </row>
    <row r="16" spans="1:19" x14ac:dyDescent="0.25">
      <c r="A16" s="1" t="s">
        <v>50</v>
      </c>
      <c r="B16" s="46">
        <f>(6.25*3+7+7.25+13+9+8.75*3+9.4*5+10)/16</f>
        <v>8.640625</v>
      </c>
      <c r="C16" s="8" t="s">
        <v>6</v>
      </c>
      <c r="D16" s="23">
        <f>B16</f>
        <v>8.640625</v>
      </c>
      <c r="E16" s="6"/>
      <c r="F16" s="24">
        <f>B16</f>
        <v>8.640625</v>
      </c>
      <c r="G16" s="6"/>
      <c r="H16" s="6"/>
      <c r="I16" s="26">
        <f>B16</f>
        <v>8.640625</v>
      </c>
      <c r="J16" s="53"/>
      <c r="K16" s="15">
        <v>6</v>
      </c>
      <c r="L16" s="1"/>
      <c r="M16" s="1">
        <v>12</v>
      </c>
      <c r="N16" s="1"/>
      <c r="O16" s="1"/>
      <c r="P16" s="16">
        <v>11</v>
      </c>
      <c r="Q16" s="53"/>
    </row>
    <row r="17" spans="1:17" x14ac:dyDescent="0.25">
      <c r="A17" s="1" t="s">
        <v>51</v>
      </c>
      <c r="B17" s="46">
        <f>(16.25+16)/2</f>
        <v>16.125</v>
      </c>
      <c r="C17" s="8" t="s">
        <v>16</v>
      </c>
      <c r="D17" s="29"/>
      <c r="E17" s="6"/>
      <c r="F17" s="6">
        <f>B17</f>
        <v>16.125</v>
      </c>
      <c r="G17" s="6"/>
      <c r="H17" s="6">
        <f>B17</f>
        <v>16.125</v>
      </c>
      <c r="I17" s="26">
        <f>B17</f>
        <v>16.125</v>
      </c>
      <c r="J17" s="53"/>
      <c r="K17" s="15"/>
      <c r="L17" s="1"/>
      <c r="M17" s="1">
        <v>6</v>
      </c>
      <c r="N17" s="1"/>
      <c r="O17" s="1">
        <v>15</v>
      </c>
      <c r="P17" s="16">
        <v>11</v>
      </c>
      <c r="Q17" s="53"/>
    </row>
    <row r="18" spans="1:17" x14ac:dyDescent="0.25">
      <c r="A18" s="1" t="s">
        <v>52</v>
      </c>
      <c r="B18" s="46">
        <v>10.75</v>
      </c>
      <c r="C18" s="8" t="s">
        <v>17</v>
      </c>
      <c r="D18" s="29"/>
      <c r="E18" s="6"/>
      <c r="F18" s="6"/>
      <c r="G18" s="6"/>
      <c r="H18" s="6"/>
      <c r="I18" s="26">
        <f>B18</f>
        <v>10.75</v>
      </c>
      <c r="J18" s="53"/>
      <c r="K18" s="15"/>
      <c r="L18" s="1"/>
      <c r="M18" s="1"/>
      <c r="N18" s="1"/>
      <c r="O18" s="1"/>
      <c r="P18" s="16">
        <v>11</v>
      </c>
      <c r="Q18" s="53"/>
    </row>
    <row r="19" spans="1:17" ht="15.75" thickBot="1" x14ac:dyDescent="0.3">
      <c r="A19" s="54"/>
      <c r="B19" s="54"/>
      <c r="C19" s="55"/>
      <c r="D19" s="20">
        <f>((K16*D16)+(K8*D8)+(D7*K7))/K19</f>
        <v>14.7265625</v>
      </c>
      <c r="E19" s="21">
        <f>((L13*E13)+(L9*E9)+(E7*L7)+(E12*L12)+(E10*L10))/L19</f>
        <v>13.450416666666666</v>
      </c>
      <c r="F19" s="21">
        <f>((M16*F16)+(M10*F10)+(F9*M9)+(F17*M17))/M19</f>
        <v>12.895624999999999</v>
      </c>
      <c r="G19" s="21">
        <f>((N15*G15)+(N12*G12)+(G11*N11))/N19</f>
        <v>14.225</v>
      </c>
      <c r="H19" s="21">
        <f>((O17*H17)+(O8*H8)+(H14*O14))/O19</f>
        <v>12.50625</v>
      </c>
      <c r="I19" s="22">
        <f>((P16*I16)+(P8*I8)+(I18*P18)+(I17*P17)+(I15*P15)+(I14*P14))/P19</f>
        <v>11.218142361111111</v>
      </c>
      <c r="J19" s="53"/>
      <c r="K19" s="17">
        <v>60</v>
      </c>
      <c r="L19" s="18">
        <v>60</v>
      </c>
      <c r="M19" s="18">
        <v>60</v>
      </c>
      <c r="N19" s="18">
        <v>60</v>
      </c>
      <c r="O19" s="18">
        <v>60</v>
      </c>
      <c r="P19" s="19">
        <v>60</v>
      </c>
      <c r="Q19" s="53"/>
    </row>
    <row r="20" spans="1:17" ht="15.75" thickBot="1" x14ac:dyDescent="0.3">
      <c r="A20" s="1" t="s">
        <v>22</v>
      </c>
      <c r="B20" s="6">
        <f>SUM(D20:I20)/6</f>
        <v>13.419144097222222</v>
      </c>
      <c r="C20" s="52"/>
      <c r="D20" s="7">
        <f t="shared" ref="D20:I20" si="1">((D19*K19)+(D5*K5))/K20</f>
        <v>15.2359375</v>
      </c>
      <c r="E20" s="7">
        <f t="shared" si="1"/>
        <v>13.690250000000001</v>
      </c>
      <c r="F20" s="7">
        <f t="shared" si="1"/>
        <v>13.812374999999999</v>
      </c>
      <c r="G20" s="7">
        <f t="shared" si="1"/>
        <v>13.455</v>
      </c>
      <c r="H20" s="7">
        <f t="shared" si="1"/>
        <v>11.970416666666665</v>
      </c>
      <c r="I20" s="30">
        <f t="shared" si="1"/>
        <v>12.350885416666666</v>
      </c>
      <c r="J20" s="53"/>
      <c r="K20" s="3">
        <v>100</v>
      </c>
      <c r="L20" s="4">
        <v>100</v>
      </c>
      <c r="M20" s="4">
        <v>100</v>
      </c>
      <c r="N20" s="4">
        <v>100</v>
      </c>
      <c r="O20" s="4">
        <v>100</v>
      </c>
      <c r="P20" s="5">
        <v>100</v>
      </c>
      <c r="Q20" s="53"/>
    </row>
    <row r="21" spans="1:17" x14ac:dyDescent="0.25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</row>
    <row r="22" spans="1:17" x14ac:dyDescent="0.2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</row>
    <row r="23" spans="1:17" ht="23.25" x14ac:dyDescent="0.25">
      <c r="A23" s="60" t="s">
        <v>24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53"/>
    </row>
    <row r="24" spans="1:17" ht="15.75" thickBot="1" x14ac:dyDescent="0.3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</row>
    <row r="25" spans="1:17" ht="15.75" thickBot="1" x14ac:dyDescent="0.3">
      <c r="A25" s="53"/>
      <c r="B25" s="53"/>
      <c r="C25" s="52"/>
      <c r="D25" s="3" t="s">
        <v>0</v>
      </c>
      <c r="E25" s="4" t="s">
        <v>1</v>
      </c>
      <c r="F25" s="4" t="s">
        <v>2</v>
      </c>
      <c r="G25" s="4" t="s">
        <v>3</v>
      </c>
      <c r="H25" s="4" t="s">
        <v>4</v>
      </c>
      <c r="I25" s="5" t="s">
        <v>5</v>
      </c>
      <c r="J25" s="53"/>
      <c r="K25" s="9" t="s">
        <v>0</v>
      </c>
      <c r="L25" s="10" t="s">
        <v>1</v>
      </c>
      <c r="M25" s="10" t="s">
        <v>2</v>
      </c>
      <c r="N25" s="10" t="s">
        <v>3</v>
      </c>
      <c r="O25" s="10" t="s">
        <v>4</v>
      </c>
      <c r="P25" s="11" t="s">
        <v>5</v>
      </c>
      <c r="Q25" s="53"/>
    </row>
    <row r="26" spans="1:17" x14ac:dyDescent="0.25">
      <c r="A26" s="53"/>
      <c r="B26" s="53"/>
      <c r="C26" s="8" t="s">
        <v>19</v>
      </c>
      <c r="D26" s="44">
        <f>(12*2.5+18.5*5.5+6*2)/10</f>
        <v>14.375</v>
      </c>
      <c r="E26" s="32">
        <f>(13.5*2+18*1+0.5*2)/5</f>
        <v>9.1999999999999993</v>
      </c>
      <c r="F26" s="32">
        <f>(12*1+14*8)/9</f>
        <v>13.777777777777779</v>
      </c>
      <c r="G26" s="32">
        <f>(10.4*1.125+14.7*1.125+10*0.75+14.5+11+19)/6</f>
        <v>13.372916666666667</v>
      </c>
      <c r="H26" s="32">
        <f>(11+16+11.5+13+11.33*3)/7</f>
        <v>12.212857142857144</v>
      </c>
      <c r="I26" s="33">
        <f>(14+11.5+12*3+12.3*5)/10</f>
        <v>12.3</v>
      </c>
      <c r="J26" s="53"/>
      <c r="K26" s="12">
        <v>38</v>
      </c>
      <c r="L26" s="13">
        <v>38</v>
      </c>
      <c r="M26" s="13">
        <v>38</v>
      </c>
      <c r="N26" s="13">
        <v>38</v>
      </c>
      <c r="O26" s="13">
        <v>38</v>
      </c>
      <c r="P26" s="14">
        <v>38</v>
      </c>
      <c r="Q26" s="53"/>
    </row>
    <row r="27" spans="1:17" ht="15.75" thickBot="1" x14ac:dyDescent="0.3">
      <c r="A27" s="53"/>
      <c r="B27" s="53"/>
      <c r="C27" s="8" t="s">
        <v>25</v>
      </c>
      <c r="D27" s="45">
        <v>10.75</v>
      </c>
      <c r="E27" s="45">
        <v>10.75</v>
      </c>
      <c r="F27" s="45">
        <v>10.75</v>
      </c>
      <c r="G27" s="45">
        <v>10.75</v>
      </c>
      <c r="H27" s="45">
        <v>10.75</v>
      </c>
      <c r="I27" s="45">
        <v>10.75</v>
      </c>
      <c r="J27" s="53"/>
      <c r="K27" s="35">
        <v>2</v>
      </c>
      <c r="L27" s="36">
        <v>2</v>
      </c>
      <c r="M27" s="36">
        <v>2</v>
      </c>
      <c r="N27" s="36">
        <v>2</v>
      </c>
      <c r="O27" s="36">
        <v>2</v>
      </c>
      <c r="P27" s="37">
        <v>2</v>
      </c>
      <c r="Q27" s="53"/>
    </row>
    <row r="28" spans="1:17" ht="15.75" thickBot="1" x14ac:dyDescent="0.3">
      <c r="A28" s="57"/>
      <c r="B28" s="57"/>
      <c r="C28" s="52"/>
      <c r="D28" s="7">
        <f>(D26*K26+D27*K27)/K28</f>
        <v>14.19375</v>
      </c>
      <c r="E28" s="7">
        <f t="shared" ref="E28:I28" si="2">(E26*L26+E27*L27)/L28</f>
        <v>9.2774999999999999</v>
      </c>
      <c r="F28" s="7">
        <f>(F26*M26+F27*M27)/M28</f>
        <v>13.626388888888888</v>
      </c>
      <c r="G28" s="7">
        <f t="shared" si="2"/>
        <v>13.241770833333334</v>
      </c>
      <c r="H28" s="7">
        <f t="shared" si="2"/>
        <v>12.139714285714287</v>
      </c>
      <c r="I28" s="30">
        <f t="shared" si="2"/>
        <v>12.2225</v>
      </c>
      <c r="J28" s="53"/>
      <c r="K28" s="17">
        <v>40</v>
      </c>
      <c r="L28" s="18">
        <v>40</v>
      </c>
      <c r="M28" s="18">
        <v>40</v>
      </c>
      <c r="N28" s="18">
        <v>40</v>
      </c>
      <c r="O28" s="18">
        <v>40</v>
      </c>
      <c r="P28" s="19">
        <v>40</v>
      </c>
      <c r="Q28" s="53"/>
    </row>
    <row r="29" spans="1:17" ht="15.75" thickBot="1" x14ac:dyDescent="0.3">
      <c r="A29" s="1" t="s">
        <v>21</v>
      </c>
      <c r="B29" s="1" t="s">
        <v>20</v>
      </c>
      <c r="C29" s="58"/>
      <c r="D29" s="53"/>
      <c r="E29" s="53"/>
      <c r="F29" s="53"/>
      <c r="G29" s="53"/>
      <c r="H29" s="53"/>
      <c r="I29" s="53"/>
      <c r="J29" s="53"/>
      <c r="K29" s="59"/>
      <c r="L29" s="59"/>
      <c r="M29" s="59"/>
      <c r="N29" s="59"/>
      <c r="O29" s="59"/>
      <c r="P29" s="59"/>
      <c r="Q29" s="53"/>
    </row>
    <row r="30" spans="1:17" x14ac:dyDescent="0.25">
      <c r="A30" s="1" t="s">
        <v>53</v>
      </c>
      <c r="B30" s="34">
        <f>(15*3+19*2+17.5*5)/10</f>
        <v>17.05</v>
      </c>
      <c r="C30" s="8" t="s">
        <v>26</v>
      </c>
      <c r="D30" s="25">
        <f>$B30</f>
        <v>17.05</v>
      </c>
      <c r="E30" s="27">
        <f>$B30</f>
        <v>17.05</v>
      </c>
      <c r="F30" s="27"/>
      <c r="G30" s="27"/>
      <c r="H30" s="27"/>
      <c r="I30" s="28"/>
      <c r="J30" s="53"/>
      <c r="K30" s="12">
        <v>21</v>
      </c>
      <c r="L30" s="13">
        <v>15</v>
      </c>
      <c r="M30" s="13"/>
      <c r="N30" s="13"/>
      <c r="O30" s="13"/>
      <c r="P30" s="14"/>
      <c r="Q30" s="53"/>
    </row>
    <row r="31" spans="1:17" x14ac:dyDescent="0.25">
      <c r="A31" s="1" t="s">
        <v>54</v>
      </c>
      <c r="B31" s="34">
        <f>(15+13*0.5+16*1.5)/3</f>
        <v>15.166666666666666</v>
      </c>
      <c r="C31" s="8" t="s">
        <v>27</v>
      </c>
      <c r="D31" s="23">
        <f>$B31</f>
        <v>15.166666666666666</v>
      </c>
      <c r="E31" s="6"/>
      <c r="F31" s="6"/>
      <c r="G31" s="6"/>
      <c r="H31" s="6">
        <f>$B31</f>
        <v>15.166666666666666</v>
      </c>
      <c r="I31" s="26">
        <f>$B31</f>
        <v>15.166666666666666</v>
      </c>
      <c r="J31" s="53"/>
      <c r="K31" s="15">
        <v>21</v>
      </c>
      <c r="L31" s="1"/>
      <c r="M31" s="1"/>
      <c r="N31" s="1"/>
      <c r="O31" s="1">
        <v>3</v>
      </c>
      <c r="P31" s="16">
        <v>4</v>
      </c>
      <c r="Q31" s="53"/>
    </row>
    <row r="32" spans="1:17" x14ac:dyDescent="0.25">
      <c r="A32" s="1" t="s">
        <v>55</v>
      </c>
      <c r="B32" s="34">
        <f>15.45</f>
        <v>15.45</v>
      </c>
      <c r="C32" s="8" t="s">
        <v>28</v>
      </c>
      <c r="D32" s="29">
        <f>$B32</f>
        <v>15.45</v>
      </c>
      <c r="E32" s="6"/>
      <c r="F32" s="6"/>
      <c r="G32" s="6"/>
      <c r="H32" s="6">
        <f>$B32</f>
        <v>15.45</v>
      </c>
      <c r="I32" s="26"/>
      <c r="J32" s="53"/>
      <c r="K32" s="15">
        <v>12</v>
      </c>
      <c r="L32" s="1"/>
      <c r="M32" s="1"/>
      <c r="N32" s="1"/>
      <c r="O32" s="1">
        <v>6</v>
      </c>
      <c r="P32" s="16"/>
      <c r="Q32" s="53"/>
    </row>
    <row r="33" spans="1:17" x14ac:dyDescent="0.25">
      <c r="A33" s="1" t="s">
        <v>56</v>
      </c>
      <c r="B33" s="34">
        <v>20</v>
      </c>
      <c r="C33" s="8" t="s">
        <v>29</v>
      </c>
      <c r="D33" s="29"/>
      <c r="E33" s="6">
        <f>B33</f>
        <v>20</v>
      </c>
      <c r="F33" s="6">
        <f>B33</f>
        <v>20</v>
      </c>
      <c r="G33" s="6"/>
      <c r="H33" s="6"/>
      <c r="I33" s="26"/>
      <c r="J33" s="53"/>
      <c r="K33" s="15"/>
      <c r="L33" s="1">
        <v>12</v>
      </c>
      <c r="M33" s="1">
        <v>36</v>
      </c>
      <c r="N33" s="1"/>
      <c r="O33" s="1"/>
      <c r="P33" s="16"/>
      <c r="Q33" s="53"/>
    </row>
    <row r="34" spans="1:17" x14ac:dyDescent="0.25">
      <c r="A34" s="1" t="s">
        <v>57</v>
      </c>
      <c r="B34" s="34">
        <v>14.5</v>
      </c>
      <c r="C34" s="8" t="s">
        <v>30</v>
      </c>
      <c r="D34" s="29"/>
      <c r="E34" s="6"/>
      <c r="F34" s="6">
        <f>$B34</f>
        <v>14.5</v>
      </c>
      <c r="G34" s="6"/>
      <c r="H34" s="6"/>
      <c r="I34" s="26"/>
      <c r="J34" s="53"/>
      <c r="K34" s="15"/>
      <c r="L34" s="1"/>
      <c r="M34" s="1">
        <v>15</v>
      </c>
      <c r="N34" s="1"/>
      <c r="O34" s="1"/>
      <c r="P34" s="16"/>
      <c r="Q34" s="53"/>
    </row>
    <row r="35" spans="1:17" x14ac:dyDescent="0.25">
      <c r="A35" s="1" t="s">
        <v>58</v>
      </c>
      <c r="B35" s="34">
        <v>10</v>
      </c>
      <c r="C35" s="8" t="s">
        <v>31</v>
      </c>
      <c r="D35" s="29"/>
      <c r="E35" s="6"/>
      <c r="F35" s="6"/>
      <c r="G35" s="6">
        <f>B35</f>
        <v>10</v>
      </c>
      <c r="H35" s="6"/>
      <c r="I35" s="26"/>
      <c r="J35" s="53"/>
      <c r="K35" s="15"/>
      <c r="L35" s="1"/>
      <c r="M35" s="1"/>
      <c r="N35" s="1">
        <v>30</v>
      </c>
      <c r="O35" s="1"/>
      <c r="P35" s="16"/>
      <c r="Q35" s="53"/>
    </row>
    <row r="36" spans="1:17" x14ac:dyDescent="0.25">
      <c r="A36" s="1" t="s">
        <v>59</v>
      </c>
      <c r="B36" s="34">
        <f>(13+20+19.5+13)/4</f>
        <v>16.375</v>
      </c>
      <c r="C36" s="8" t="s">
        <v>32</v>
      </c>
      <c r="D36" s="29"/>
      <c r="E36" s="6">
        <f>B36</f>
        <v>16.375</v>
      </c>
      <c r="F36" s="6"/>
      <c r="G36" s="6"/>
      <c r="H36" s="6">
        <f>$B36</f>
        <v>16.375</v>
      </c>
      <c r="I36" s="26"/>
      <c r="J36" s="53"/>
      <c r="K36" s="15"/>
      <c r="L36" s="1">
        <v>21</v>
      </c>
      <c r="M36" s="1"/>
      <c r="N36" s="1"/>
      <c r="O36" s="1">
        <v>6</v>
      </c>
      <c r="P36" s="16"/>
      <c r="Q36" s="53"/>
    </row>
    <row r="37" spans="1:17" x14ac:dyDescent="0.25">
      <c r="A37" s="1" t="s">
        <v>60</v>
      </c>
      <c r="B37" s="34">
        <v>17</v>
      </c>
      <c r="C37" s="8" t="s">
        <v>33</v>
      </c>
      <c r="D37" s="29"/>
      <c r="E37" s="6"/>
      <c r="F37" s="6"/>
      <c r="G37" s="6">
        <f>$B37</f>
        <v>17</v>
      </c>
      <c r="H37" s="6"/>
      <c r="I37" s="26"/>
      <c r="J37" s="53"/>
      <c r="K37" s="15"/>
      <c r="L37" s="1"/>
      <c r="M37" s="1"/>
      <c r="N37" s="1">
        <v>12</v>
      </c>
      <c r="O37" s="1"/>
      <c r="P37" s="16"/>
      <c r="Q37" s="53"/>
    </row>
    <row r="38" spans="1:17" x14ac:dyDescent="0.25">
      <c r="A38" s="1" t="s">
        <v>61</v>
      </c>
      <c r="B38" s="34">
        <v>8.75</v>
      </c>
      <c r="C38" s="8" t="s">
        <v>34</v>
      </c>
      <c r="D38" s="29"/>
      <c r="E38" s="6">
        <f>$B38</f>
        <v>8.75</v>
      </c>
      <c r="F38" s="6"/>
      <c r="G38" s="6"/>
      <c r="H38" s="6"/>
      <c r="I38" s="26"/>
      <c r="J38" s="53"/>
      <c r="K38" s="15"/>
      <c r="L38" s="1">
        <v>12</v>
      </c>
      <c r="M38" s="1"/>
      <c r="N38" s="1"/>
      <c r="O38" s="1"/>
      <c r="P38" s="16"/>
      <c r="Q38" s="53"/>
    </row>
    <row r="39" spans="1:17" x14ac:dyDescent="0.25">
      <c r="A39" s="1" t="s">
        <v>48</v>
      </c>
      <c r="B39" s="34">
        <f>(3+18+13*0.5)/2.5</f>
        <v>11</v>
      </c>
      <c r="C39" s="8" t="s">
        <v>35</v>
      </c>
      <c r="D39" s="23"/>
      <c r="E39" s="6"/>
      <c r="F39" s="24"/>
      <c r="G39" s="6">
        <f>$B39</f>
        <v>11</v>
      </c>
      <c r="H39" s="6">
        <f>$B39</f>
        <v>11</v>
      </c>
      <c r="I39" s="26"/>
      <c r="J39" s="53"/>
      <c r="K39" s="15"/>
      <c r="L39" s="1"/>
      <c r="M39" s="1"/>
      <c r="N39" s="1">
        <v>12</v>
      </c>
      <c r="O39" s="1">
        <v>30</v>
      </c>
      <c r="P39" s="16"/>
      <c r="Q39" s="53"/>
    </row>
    <row r="40" spans="1:17" x14ac:dyDescent="0.25">
      <c r="A40" s="1" t="s">
        <v>62</v>
      </c>
      <c r="B40" s="34">
        <v>7</v>
      </c>
      <c r="C40" s="8" t="s">
        <v>36</v>
      </c>
      <c r="D40" s="29"/>
      <c r="E40" s="6"/>
      <c r="F40" s="6"/>
      <c r="G40" s="6"/>
      <c r="H40" s="6"/>
      <c r="I40" s="26">
        <f>B40</f>
        <v>7</v>
      </c>
      <c r="J40" s="53"/>
      <c r="K40" s="15"/>
      <c r="L40" s="1"/>
      <c r="M40" s="1"/>
      <c r="N40" s="1"/>
      <c r="O40" s="1"/>
      <c r="P40" s="16">
        <v>17</v>
      </c>
      <c r="Q40" s="53"/>
    </row>
    <row r="41" spans="1:17" x14ac:dyDescent="0.25">
      <c r="A41" s="1" t="s">
        <v>63</v>
      </c>
      <c r="B41" s="34">
        <f>(3.75*5+12.75+8+11*3+15+12+13)/13</f>
        <v>8.6538461538461533</v>
      </c>
      <c r="C41" s="8" t="s">
        <v>37</v>
      </c>
      <c r="D41" s="29"/>
      <c r="E41" s="6"/>
      <c r="F41" s="6">
        <f t="shared" ref="F41:G41" si="3">$B41</f>
        <v>8.6538461538461533</v>
      </c>
      <c r="G41" s="6">
        <f t="shared" si="3"/>
        <v>8.6538461538461533</v>
      </c>
      <c r="H41" s="6">
        <f>$B41</f>
        <v>8.6538461538461533</v>
      </c>
      <c r="I41" s="26">
        <f>B41</f>
        <v>8.6538461538461533</v>
      </c>
      <c r="J41" s="53"/>
      <c r="K41" s="15"/>
      <c r="L41" s="1"/>
      <c r="M41" s="1">
        <v>6</v>
      </c>
      <c r="N41" s="1">
        <v>6</v>
      </c>
      <c r="O41" s="1">
        <v>6</v>
      </c>
      <c r="P41" s="16">
        <v>17</v>
      </c>
      <c r="Q41" s="53"/>
    </row>
    <row r="42" spans="1:17" x14ac:dyDescent="0.25">
      <c r="A42" s="1" t="s">
        <v>64</v>
      </c>
      <c r="B42" s="34">
        <f>(0+15+8.5+16)/4</f>
        <v>9.875</v>
      </c>
      <c r="C42" s="8" t="s">
        <v>39</v>
      </c>
      <c r="D42" s="38">
        <f>$B42</f>
        <v>9.875</v>
      </c>
      <c r="E42" s="39"/>
      <c r="F42" s="39">
        <f>$B42</f>
        <v>9.875</v>
      </c>
      <c r="G42" s="39"/>
      <c r="H42" s="39">
        <f>$B42</f>
        <v>9.875</v>
      </c>
      <c r="I42" s="40">
        <f>$B42</f>
        <v>9.875</v>
      </c>
      <c r="J42" s="53"/>
      <c r="K42" s="41">
        <v>6</v>
      </c>
      <c r="L42" s="42"/>
      <c r="M42" s="42">
        <v>3</v>
      </c>
      <c r="N42" s="42"/>
      <c r="O42" s="42">
        <v>9</v>
      </c>
      <c r="P42" s="43">
        <v>11</v>
      </c>
      <c r="Q42" s="53"/>
    </row>
    <row r="43" spans="1:17" x14ac:dyDescent="0.25">
      <c r="A43" s="1" t="s">
        <v>52</v>
      </c>
      <c r="B43" s="34">
        <v>12.9</v>
      </c>
      <c r="C43" s="8" t="s">
        <v>38</v>
      </c>
      <c r="D43" s="38"/>
      <c r="E43" s="39"/>
      <c r="F43" s="39"/>
      <c r="G43" s="39"/>
      <c r="H43" s="39"/>
      <c r="I43" s="40">
        <f>$B43</f>
        <v>12.9</v>
      </c>
      <c r="J43" s="53"/>
      <c r="K43" s="41"/>
      <c r="L43" s="42"/>
      <c r="M43" s="42"/>
      <c r="N43" s="42"/>
      <c r="O43" s="42"/>
      <c r="P43" s="43">
        <v>11</v>
      </c>
      <c r="Q43" s="53"/>
    </row>
    <row r="44" spans="1:17" ht="15.75" thickBot="1" x14ac:dyDescent="0.3">
      <c r="A44" s="54"/>
      <c r="B44" s="54"/>
      <c r="C44" s="55"/>
      <c r="D44" s="20">
        <f>((K42*D42)+(K31*D31)+(D32*K32)+(D30*K30))/K44</f>
        <v>15.353333333333333</v>
      </c>
      <c r="E44" s="21">
        <f>((L38*E38)+(E30*L30)+(E36*L36)+(E33*L33))/L44</f>
        <v>15.74375</v>
      </c>
      <c r="F44" s="21">
        <f>((M41*F41)+(M33*F33)+(F34*M34)+(F42*M42))/M44</f>
        <v>16.984134615384615</v>
      </c>
      <c r="G44" s="21">
        <f>((N41*G41)+(N35*G35)+(G37*N37)+(G39*N39))/N44</f>
        <v>11.465384615384615</v>
      </c>
      <c r="H44" s="21">
        <f>((O39*H39)+(O31*H31)+(H36*O36)+(H41*O41)+(H42*O42)+(H32*O32))/O44</f>
        <v>11.78746794871795</v>
      </c>
      <c r="I44" s="22">
        <f>((P41*I41)+(P31*I31)+(I43*P43)+(I42*P42)+(I40*P40))/P44</f>
        <v>9.6217841880341872</v>
      </c>
      <c r="J44" s="53"/>
      <c r="K44" s="17">
        <v>60</v>
      </c>
      <c r="L44" s="18">
        <v>60</v>
      </c>
      <c r="M44" s="18">
        <v>60</v>
      </c>
      <c r="N44" s="18">
        <v>60</v>
      </c>
      <c r="O44" s="18">
        <v>60</v>
      </c>
      <c r="P44" s="19">
        <v>60</v>
      </c>
      <c r="Q44" s="53"/>
    </row>
    <row r="45" spans="1:17" ht="15.75" thickBot="1" x14ac:dyDescent="0.3">
      <c r="A45" s="1" t="s">
        <v>22</v>
      </c>
      <c r="B45" s="6">
        <f>SUM(D45:I45)/6</f>
        <v>13.075693737281236</v>
      </c>
      <c r="C45" s="52"/>
      <c r="D45" s="7">
        <f t="shared" ref="D45:I45" si="4">((D44*K44)+(D28*K28))/K45</f>
        <v>14.8895</v>
      </c>
      <c r="E45" s="7">
        <f t="shared" si="4"/>
        <v>13.157249999999999</v>
      </c>
      <c r="F45" s="7">
        <f t="shared" si="4"/>
        <v>15.641036324786324</v>
      </c>
      <c r="G45" s="7">
        <f t="shared" si="4"/>
        <v>12.175939102564103</v>
      </c>
      <c r="H45" s="7">
        <f t="shared" si="4"/>
        <v>11.928366483516484</v>
      </c>
      <c r="I45" s="30">
        <f t="shared" si="4"/>
        <v>10.662070512820513</v>
      </c>
      <c r="J45" s="53"/>
      <c r="K45" s="3">
        <v>100</v>
      </c>
      <c r="L45" s="4">
        <v>100</v>
      </c>
      <c r="M45" s="4">
        <v>100</v>
      </c>
      <c r="N45" s="4">
        <v>100</v>
      </c>
      <c r="O45" s="4">
        <v>100</v>
      </c>
      <c r="P45" s="5">
        <v>100</v>
      </c>
      <c r="Q45" s="53"/>
    </row>
    <row r="46" spans="1:17" x14ac:dyDescent="0.2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</row>
    <row r="47" spans="1:17" x14ac:dyDescent="0.2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</row>
    <row r="48" spans="1:17" x14ac:dyDescent="0.2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</row>
    <row r="49" spans="1:17" x14ac:dyDescent="0.2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</row>
    <row r="50" spans="1:17" ht="23.25" x14ac:dyDescent="0.25">
      <c r="A50" s="60" t="s">
        <v>40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53"/>
    </row>
    <row r="51" spans="1:17" ht="24" thickBot="1" x14ac:dyDescent="0.3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3"/>
    </row>
    <row r="52" spans="1:17" ht="15.75" thickBot="1" x14ac:dyDescent="0.3">
      <c r="A52" s="53"/>
      <c r="B52" s="53"/>
      <c r="C52" s="53"/>
      <c r="D52" s="3" t="s">
        <v>0</v>
      </c>
      <c r="E52" s="4" t="s">
        <v>1</v>
      </c>
      <c r="F52" s="4" t="s">
        <v>2</v>
      </c>
      <c r="G52" s="4" t="s">
        <v>3</v>
      </c>
      <c r="H52" s="4" t="s">
        <v>4</v>
      </c>
      <c r="I52" s="5" t="s">
        <v>5</v>
      </c>
      <c r="J52" s="53"/>
      <c r="K52" s="53"/>
      <c r="L52" s="53"/>
      <c r="M52" s="53"/>
      <c r="N52" s="53"/>
      <c r="O52" s="53"/>
      <c r="P52" s="53"/>
      <c r="Q52" s="53"/>
    </row>
    <row r="53" spans="1:17" x14ac:dyDescent="0.25">
      <c r="A53" s="53"/>
      <c r="B53" s="53"/>
      <c r="C53" s="53"/>
      <c r="D53" s="50">
        <f>(D45+D20)/2</f>
        <v>15.06271875</v>
      </c>
      <c r="E53" s="50">
        <f t="shared" ref="E53:I53" si="5">(E45+E20)/2</f>
        <v>13.42375</v>
      </c>
      <c r="F53" s="50">
        <f t="shared" si="5"/>
        <v>14.726705662393162</v>
      </c>
      <c r="G53" s="50">
        <f t="shared" si="5"/>
        <v>12.815469551282051</v>
      </c>
      <c r="H53" s="50">
        <f t="shared" si="5"/>
        <v>11.949391575091575</v>
      </c>
      <c r="I53" s="50">
        <f t="shared" si="5"/>
        <v>11.506477964743588</v>
      </c>
      <c r="J53" s="53"/>
      <c r="K53" s="53"/>
      <c r="L53" s="53"/>
      <c r="M53" s="53"/>
      <c r="N53" s="53"/>
      <c r="O53" s="53"/>
      <c r="P53" s="53"/>
      <c r="Q53" s="53"/>
    </row>
    <row r="54" spans="1:17" x14ac:dyDescent="0.2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</row>
    <row r="55" spans="1:17" x14ac:dyDescent="0.2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</row>
  </sheetData>
  <mergeCells count="22">
    <mergeCell ref="A23:P23"/>
    <mergeCell ref="A50:P50"/>
    <mergeCell ref="J3:J20"/>
    <mergeCell ref="A2:B5"/>
    <mergeCell ref="K6:P6"/>
    <mergeCell ref="C6:I6"/>
    <mergeCell ref="Q1:Q55"/>
    <mergeCell ref="A46:P49"/>
    <mergeCell ref="A44:C44"/>
    <mergeCell ref="A51:P51"/>
    <mergeCell ref="A52:C53"/>
    <mergeCell ref="J52:P53"/>
    <mergeCell ref="A54:P55"/>
    <mergeCell ref="A21:P22"/>
    <mergeCell ref="A19:C19"/>
    <mergeCell ref="C2:P2"/>
    <mergeCell ref="C24:P24"/>
    <mergeCell ref="A24:B28"/>
    <mergeCell ref="C29:I29"/>
    <mergeCell ref="J25:J45"/>
    <mergeCell ref="K29:P29"/>
    <mergeCell ref="A1:P1"/>
  </mergeCells>
  <conditionalFormatting sqref="D20:I20">
    <cfRule type="colorScale" priority="10">
      <colorScale>
        <cfvo type="num" val="8"/>
        <cfvo type="num" val="12"/>
        <color rgb="FFFF0000"/>
        <color rgb="FF92D050"/>
      </colorScale>
    </cfRule>
  </conditionalFormatting>
  <conditionalFormatting sqref="D45:I45">
    <cfRule type="colorScale" priority="8">
      <colorScale>
        <cfvo type="num" val="8"/>
        <cfvo type="num" val="12"/>
        <color rgb="FFFF0000"/>
        <color rgb="FF92D050"/>
      </colorScale>
    </cfRule>
  </conditionalFormatting>
  <conditionalFormatting sqref="D53:I53">
    <cfRule type="colorScale" priority="6">
      <colorScale>
        <cfvo type="num" val="8"/>
        <cfvo type="num" val="12"/>
        <color rgb="FFFF0000"/>
        <color rgb="FF92D050"/>
      </colorScale>
    </cfRule>
  </conditionalFormatting>
  <conditionalFormatting sqref="B7:B18">
    <cfRule type="colorScale" priority="5">
      <colorScale>
        <cfvo type="num" val="6"/>
        <cfvo type="num" val="14"/>
        <color rgb="FFFF0000"/>
        <color rgb="FF92D050"/>
      </colorScale>
    </cfRule>
  </conditionalFormatting>
  <conditionalFormatting sqref="D4:I4">
    <cfRule type="colorScale" priority="4">
      <colorScale>
        <cfvo type="num" val="6"/>
        <cfvo type="num" val="14"/>
        <color rgb="FFFF7128"/>
        <color rgb="FF92D050"/>
      </colorScale>
    </cfRule>
  </conditionalFormatting>
  <conditionalFormatting sqref="D27:I27 D26">
    <cfRule type="colorScale" priority="3">
      <colorScale>
        <cfvo type="num" val="6"/>
        <cfvo type="num" val="14"/>
        <color rgb="FFFF0000"/>
        <color rgb="FF92D050"/>
      </colorScale>
    </cfRule>
  </conditionalFormatting>
  <conditionalFormatting sqref="B30:B43">
    <cfRule type="colorScale" priority="2">
      <colorScale>
        <cfvo type="num" val="6"/>
        <cfvo type="num" val="14"/>
        <color rgb="FFFF0000"/>
        <color rgb="FF92D050"/>
      </colorScale>
    </cfRule>
  </conditionalFormatting>
  <conditionalFormatting sqref="E26:I26">
    <cfRule type="colorScale" priority="1">
      <colorScale>
        <cfvo type="num" val="6"/>
        <cfvo type="num" val="14"/>
        <color rgb="FFFF0000"/>
        <color rgb="FF92D05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2023-07-15T19:40:03Z</dcterms:modified>
</cp:coreProperties>
</file>