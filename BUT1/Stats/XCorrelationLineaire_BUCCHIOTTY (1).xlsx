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oria\Downloads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1" l="1"/>
  <c r="E49" i="1" s="1"/>
  <c r="B56" i="1" s="1"/>
  <c r="E39" i="1"/>
  <c r="E40" i="1"/>
  <c r="E41" i="1"/>
  <c r="E42" i="1"/>
  <c r="E43" i="1"/>
  <c r="E44" i="1"/>
  <c r="E45" i="1"/>
  <c r="E46" i="1"/>
  <c r="E47" i="1"/>
  <c r="B49" i="1"/>
  <c r="B54" i="1"/>
  <c r="F38" i="1"/>
  <c r="F39" i="1"/>
  <c r="F40" i="1"/>
  <c r="F41" i="1"/>
  <c r="F49" i="1" s="1"/>
  <c r="B57" i="1" s="1"/>
  <c r="F42" i="1"/>
  <c r="F43" i="1"/>
  <c r="F44" i="1"/>
  <c r="F45" i="1"/>
  <c r="F46" i="1"/>
  <c r="F47" i="1"/>
  <c r="C49" i="1"/>
  <c r="B55" i="1" s="1"/>
  <c r="C57" i="1"/>
  <c r="B58" i="1" s="1"/>
  <c r="C56" i="1"/>
  <c r="G38" i="1"/>
  <c r="G49" i="1" s="1"/>
  <c r="G39" i="1"/>
  <c r="G40" i="1"/>
  <c r="G41" i="1"/>
  <c r="G42" i="1"/>
  <c r="G43" i="1"/>
  <c r="G44" i="1"/>
  <c r="G45" i="1"/>
  <c r="G46" i="1"/>
  <c r="G47" i="1"/>
  <c r="B72" i="1"/>
  <c r="D49" i="1"/>
  <c r="B73" i="1" s="1"/>
  <c r="H38" i="1"/>
  <c r="H49" i="1" s="1"/>
  <c r="B74" i="1" s="1"/>
  <c r="H39" i="1"/>
  <c r="H40" i="1"/>
  <c r="H41" i="1"/>
  <c r="H42" i="1"/>
  <c r="H43" i="1"/>
  <c r="H44" i="1"/>
  <c r="H45" i="1"/>
  <c r="H46" i="1"/>
  <c r="H47" i="1"/>
  <c r="C75" i="1"/>
  <c r="C74" i="1"/>
  <c r="I38" i="1"/>
  <c r="I39" i="1"/>
  <c r="I40" i="1"/>
  <c r="I41" i="1"/>
  <c r="I42" i="1"/>
  <c r="I43" i="1"/>
  <c r="I44" i="1"/>
  <c r="I45" i="1"/>
  <c r="I46" i="1"/>
  <c r="I47" i="1"/>
  <c r="I49" i="1"/>
  <c r="E7" i="1"/>
  <c r="E8" i="1"/>
  <c r="E9" i="1"/>
  <c r="E10" i="1"/>
  <c r="E18" i="1" s="1"/>
  <c r="B23" i="1" s="1"/>
  <c r="E11" i="1"/>
  <c r="E12" i="1"/>
  <c r="E13" i="1"/>
  <c r="E14" i="1"/>
  <c r="E15" i="1"/>
  <c r="E16" i="1"/>
  <c r="C18" i="1"/>
  <c r="B20" i="1" s="1"/>
  <c r="D18" i="1"/>
  <c r="B21" i="1"/>
  <c r="F7" i="1"/>
  <c r="F8" i="1"/>
  <c r="F9" i="1"/>
  <c r="F10" i="1"/>
  <c r="F18" i="1" s="1"/>
  <c r="F11" i="1"/>
  <c r="F12" i="1"/>
  <c r="F13" i="1"/>
  <c r="F14" i="1"/>
  <c r="F15" i="1"/>
  <c r="F16" i="1"/>
  <c r="C23" i="1"/>
  <c r="C21" i="1"/>
  <c r="C22" i="1"/>
  <c r="G7" i="1"/>
  <c r="G18" i="1" s="1"/>
  <c r="E23" i="1" s="1"/>
  <c r="G8" i="1"/>
  <c r="G9" i="1"/>
  <c r="G10" i="1"/>
  <c r="G11" i="1"/>
  <c r="G12" i="1"/>
  <c r="G13" i="1"/>
  <c r="G14" i="1"/>
  <c r="G15" i="1"/>
  <c r="G16" i="1"/>
  <c r="A39" i="1"/>
  <c r="A40" i="1" s="1"/>
  <c r="A41" i="1" s="1"/>
  <c r="A42" i="1" s="1"/>
  <c r="A43" i="1" s="1"/>
  <c r="A44" i="1" s="1"/>
  <c r="A45" i="1" s="1"/>
  <c r="A46" i="1" s="1"/>
  <c r="A47" i="1" s="1"/>
  <c r="B59" i="1" l="1"/>
  <c r="B75" i="1"/>
  <c r="B22" i="1"/>
  <c r="B24" i="1" s="1"/>
  <c r="E22" i="1"/>
  <c r="B25" i="1" l="1"/>
  <c r="D28" i="1" s="1"/>
  <c r="E30" i="1" s="1"/>
  <c r="B65" i="1"/>
  <c r="B76" i="1"/>
  <c r="B77" i="1" l="1"/>
  <c r="C87" i="1" s="1"/>
</calcChain>
</file>

<file path=xl/sharedStrings.xml><?xml version="1.0" encoding="utf-8"?>
<sst xmlns="http://schemas.openxmlformats.org/spreadsheetml/2006/main" count="66" uniqueCount="44">
  <si>
    <t>Corrélation linéaire</t>
  </si>
  <si>
    <t>Exercice 1</t>
  </si>
  <si>
    <t>1)</t>
  </si>
  <si>
    <t>semaine n°i</t>
  </si>
  <si>
    <t>xi</t>
  </si>
  <si>
    <t>yi</t>
  </si>
  <si>
    <t>xiyi</t>
  </si>
  <si>
    <r>
      <t>xi</t>
    </r>
    <r>
      <rPr>
        <b/>
        <vertAlign val="superscript"/>
        <sz val="10"/>
        <rFont val="Verdana"/>
        <family val="2"/>
      </rPr>
      <t>2</t>
    </r>
  </si>
  <si>
    <t>2)</t>
  </si>
  <si>
    <t xml:space="preserve">Exercice </t>
  </si>
  <si>
    <t>Année</t>
  </si>
  <si>
    <t>Rang de l'année ti</t>
  </si>
  <si>
    <r>
      <t>ti</t>
    </r>
    <r>
      <rPr>
        <b/>
        <vertAlign val="superscript"/>
        <sz val="10"/>
        <rFont val="Verdana"/>
        <family val="2"/>
      </rPr>
      <t>2</t>
    </r>
  </si>
  <si>
    <t>tixi</t>
  </si>
  <si>
    <r>
      <t>yi</t>
    </r>
    <r>
      <rPr>
        <b/>
        <vertAlign val="superscript"/>
        <sz val="10"/>
        <rFont val="Verdana"/>
        <family val="2"/>
      </rPr>
      <t>2</t>
    </r>
  </si>
  <si>
    <t>3)</t>
  </si>
  <si>
    <t>4)</t>
  </si>
  <si>
    <t>E(X) =</t>
  </si>
  <si>
    <t>Total</t>
  </si>
  <si>
    <t>V(X) =</t>
  </si>
  <si>
    <t>COV(X,Y)=</t>
  </si>
  <si>
    <t>a=</t>
  </si>
  <si>
    <t>b=</t>
  </si>
  <si>
    <t>E(Y) =</t>
  </si>
  <si>
    <t xml:space="preserve">  Oui car les point on l'air de se concentrer autour d'une droite</t>
  </si>
  <si>
    <t>1,68x - 12,04</t>
  </si>
  <si>
    <t xml:space="preserve">fonction y = </t>
  </si>
  <si>
    <t>a*55 - 12,04</t>
  </si>
  <si>
    <t>=</t>
  </si>
  <si>
    <t xml:space="preserve">La semaine 55 a été de </t>
  </si>
  <si>
    <t>€</t>
  </si>
  <si>
    <t>2.655x-74.505</t>
  </si>
  <si>
    <t>E(T) =</t>
  </si>
  <si>
    <t>V(T) =</t>
  </si>
  <si>
    <t>COV(T,X)=</t>
  </si>
  <si>
    <t>2.158x + 59.13</t>
  </si>
  <si>
    <t>6)</t>
  </si>
  <si>
    <t>Rang = 15</t>
  </si>
  <si>
    <t>a2 * (a1*15 + b1) + b2 =</t>
  </si>
  <si>
    <t>r =</t>
  </si>
  <si>
    <t>Coef de corrélation linéaire</t>
  </si>
  <si>
    <t>Il faut d'abord determiner X(15) (car 2025 aurait le rang 15 d'apres la question 2</t>
  </si>
  <si>
    <t>Ensuite il faut déterminer Y(91,5) à l'aide de la question 4</t>
  </si>
  <si>
    <t>On peut donc conjecture qu'en 2025, environ 1684194 paquet seront livrés.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</si>
</sst>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name val="Verdana"/>
      <family val="2"/>
    </font>
    <font>
      <b/>
      <sz val="10"/>
      <name val="Verdana"/>
    </font>
    <font>
      <b/>
      <sz val="10"/>
      <name val="Verdana"/>
      <family val="2"/>
    </font>
    <font>
      <b/>
      <vertAlign val="superscript"/>
      <sz val="10"/>
      <name val="Verdan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2" xfId="0" applyBorder="1"/>
    <xf numFmtId="0" fontId="2" fillId="0" borderId="3" xfId="0" applyFont="1" applyBorder="1" applyAlignment="1">
      <alignment horizontal="right"/>
    </xf>
    <xf numFmtId="0" fontId="0" fillId="0" borderId="4" xfId="0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523253370621249E-2"/>
                  <c:y val="-4.39983618109690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Feuil1!$C$7:$C$16</c:f>
              <c:numCache>
                <c:formatCode>General</c:formatCode>
                <c:ptCount val="10"/>
                <c:pt idx="0">
                  <c:v>57</c:v>
                </c:pt>
                <c:pt idx="1">
                  <c:v>60</c:v>
                </c:pt>
                <c:pt idx="2">
                  <c:v>52</c:v>
                </c:pt>
                <c:pt idx="3">
                  <c:v>49</c:v>
                </c:pt>
                <c:pt idx="4">
                  <c:v>56</c:v>
                </c:pt>
                <c:pt idx="5">
                  <c:v>46</c:v>
                </c:pt>
                <c:pt idx="6">
                  <c:v>51</c:v>
                </c:pt>
                <c:pt idx="7">
                  <c:v>63</c:v>
                </c:pt>
                <c:pt idx="8">
                  <c:v>49</c:v>
                </c:pt>
                <c:pt idx="9">
                  <c:v>57</c:v>
                </c:pt>
              </c:numCache>
            </c:numRef>
          </c:xVal>
          <c:yVal>
            <c:numRef>
              <c:f>Feuil1!$D$7:$D$16</c:f>
              <c:numCache>
                <c:formatCode>General</c:formatCode>
                <c:ptCount val="10"/>
                <c:pt idx="0">
                  <c:v>86</c:v>
                </c:pt>
                <c:pt idx="1">
                  <c:v>93</c:v>
                </c:pt>
                <c:pt idx="2">
                  <c:v>77</c:v>
                </c:pt>
                <c:pt idx="3">
                  <c:v>67</c:v>
                </c:pt>
                <c:pt idx="4">
                  <c:v>81</c:v>
                </c:pt>
                <c:pt idx="5">
                  <c:v>70</c:v>
                </c:pt>
                <c:pt idx="6">
                  <c:v>71</c:v>
                </c:pt>
                <c:pt idx="7">
                  <c:v>91</c:v>
                </c:pt>
                <c:pt idx="8">
                  <c:v>67</c:v>
                </c:pt>
                <c:pt idx="9">
                  <c:v>82</c:v>
                </c:pt>
              </c:numCache>
            </c:numRef>
          </c:yVal>
          <c:smooth val="0"/>
        </c:ser>
        <c:ser>
          <c:idx val="1"/>
          <c:order val="1"/>
          <c:tx>
            <c:v>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Feuil1!$B$20</c:f>
              <c:numCache>
                <c:formatCode>General</c:formatCode>
                <c:ptCount val="1"/>
                <c:pt idx="0">
                  <c:v>54</c:v>
                </c:pt>
              </c:numCache>
            </c:numRef>
          </c:xVal>
          <c:yVal>
            <c:numRef>
              <c:f>Feuil1!$B$21</c:f>
              <c:numCache>
                <c:formatCode>General</c:formatCode>
                <c:ptCount val="1"/>
                <c:pt idx="0">
                  <c:v>78.5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6435440"/>
        <c:axId val="-131803968"/>
      </c:scatterChart>
      <c:valAx>
        <c:axId val="-96435440"/>
        <c:scaling>
          <c:orientation val="minMax"/>
          <c:max val="65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1803968"/>
        <c:crosses val="autoZero"/>
        <c:crossBetween val="midCat"/>
      </c:valAx>
      <c:valAx>
        <c:axId val="-13180396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643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Feuil1!$C$38:$C$47</c:f>
              <c:numCache>
                <c:formatCode>General</c:formatCode>
                <c:ptCount val="10"/>
                <c:pt idx="0">
                  <c:v>63</c:v>
                </c:pt>
                <c:pt idx="1">
                  <c:v>65</c:v>
                </c:pt>
                <c:pt idx="2">
                  <c:v>64</c:v>
                </c:pt>
                <c:pt idx="3">
                  <c:v>66</c:v>
                </c:pt>
                <c:pt idx="4">
                  <c:v>69</c:v>
                </c:pt>
                <c:pt idx="5">
                  <c:v>71</c:v>
                </c:pt>
                <c:pt idx="6">
                  <c:v>75</c:v>
                </c:pt>
                <c:pt idx="7">
                  <c:v>76</c:v>
                </c:pt>
                <c:pt idx="8">
                  <c:v>80</c:v>
                </c:pt>
                <c:pt idx="9">
                  <c:v>81</c:v>
                </c:pt>
              </c:numCache>
            </c:numRef>
          </c:xVal>
          <c:yVal>
            <c:numRef>
              <c:f>Feuil1!$D$38:$D$47</c:f>
              <c:numCache>
                <c:formatCode>General</c:formatCode>
                <c:ptCount val="10"/>
                <c:pt idx="0">
                  <c:v>88</c:v>
                </c:pt>
                <c:pt idx="1">
                  <c:v>87</c:v>
                </c:pt>
                <c:pt idx="2">
                  <c:v>96</c:v>
                </c:pt>
                <c:pt idx="3">
                  <c:v>106</c:v>
                </c:pt>
                <c:pt idx="4">
                  <c:v>117</c:v>
                </c:pt>
                <c:pt idx="5">
                  <c:v>118</c:v>
                </c:pt>
                <c:pt idx="6">
                  <c:v>126</c:v>
                </c:pt>
                <c:pt idx="7">
                  <c:v>134</c:v>
                </c:pt>
                <c:pt idx="8">
                  <c:v>130</c:v>
                </c:pt>
                <c:pt idx="9">
                  <c:v>138</c:v>
                </c:pt>
              </c:numCache>
            </c:numRef>
          </c:yVal>
          <c:smooth val="0"/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Feuil1!$C$38:$C$47</c:f>
              <c:numCache>
                <c:formatCode>General</c:formatCode>
                <c:ptCount val="10"/>
                <c:pt idx="0">
                  <c:v>63</c:v>
                </c:pt>
                <c:pt idx="1">
                  <c:v>65</c:v>
                </c:pt>
                <c:pt idx="2">
                  <c:v>64</c:v>
                </c:pt>
                <c:pt idx="3">
                  <c:v>66</c:v>
                </c:pt>
                <c:pt idx="4">
                  <c:v>69</c:v>
                </c:pt>
                <c:pt idx="5">
                  <c:v>71</c:v>
                </c:pt>
                <c:pt idx="6">
                  <c:v>75</c:v>
                </c:pt>
                <c:pt idx="7">
                  <c:v>76</c:v>
                </c:pt>
                <c:pt idx="8">
                  <c:v>80</c:v>
                </c:pt>
                <c:pt idx="9">
                  <c:v>81</c:v>
                </c:pt>
              </c:numCache>
            </c:numRef>
          </c:xVal>
          <c:yVal>
            <c:numRef>
              <c:f>Feuil1!$D$38:$D$47</c:f>
              <c:numCache>
                <c:formatCode>General</c:formatCode>
                <c:ptCount val="10"/>
                <c:pt idx="0">
                  <c:v>88</c:v>
                </c:pt>
                <c:pt idx="1">
                  <c:v>87</c:v>
                </c:pt>
                <c:pt idx="2">
                  <c:v>96</c:v>
                </c:pt>
                <c:pt idx="3">
                  <c:v>106</c:v>
                </c:pt>
                <c:pt idx="4">
                  <c:v>117</c:v>
                </c:pt>
                <c:pt idx="5">
                  <c:v>118</c:v>
                </c:pt>
                <c:pt idx="6">
                  <c:v>126</c:v>
                </c:pt>
                <c:pt idx="7">
                  <c:v>134</c:v>
                </c:pt>
                <c:pt idx="8">
                  <c:v>130</c:v>
                </c:pt>
                <c:pt idx="9">
                  <c:v>138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7737120"/>
        <c:axId val="-1977736032"/>
      </c:scatterChart>
      <c:valAx>
        <c:axId val="-1977737120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36032"/>
        <c:crosses val="autoZero"/>
        <c:crossBetween val="midCat"/>
      </c:valAx>
      <c:valAx>
        <c:axId val="-1977736032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3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0062510936132987"/>
                  <c:y val="0.346805555555555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Feuil1!$B$38:$B$47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Feuil1!$C$38:$C$47</c:f>
              <c:numCache>
                <c:formatCode>General</c:formatCode>
                <c:ptCount val="10"/>
                <c:pt idx="0">
                  <c:v>63</c:v>
                </c:pt>
                <c:pt idx="1">
                  <c:v>65</c:v>
                </c:pt>
                <c:pt idx="2">
                  <c:v>64</c:v>
                </c:pt>
                <c:pt idx="3">
                  <c:v>66</c:v>
                </c:pt>
                <c:pt idx="4">
                  <c:v>69</c:v>
                </c:pt>
                <c:pt idx="5">
                  <c:v>71</c:v>
                </c:pt>
                <c:pt idx="6">
                  <c:v>75</c:v>
                </c:pt>
                <c:pt idx="7">
                  <c:v>76</c:v>
                </c:pt>
                <c:pt idx="8">
                  <c:v>80</c:v>
                </c:pt>
                <c:pt idx="9">
                  <c:v>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7739296"/>
        <c:axId val="-1977744192"/>
      </c:scatterChart>
      <c:valAx>
        <c:axId val="-1977739296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44192"/>
        <c:crosses val="autoZero"/>
        <c:crossBetween val="midCat"/>
      </c:valAx>
      <c:valAx>
        <c:axId val="-1977744192"/>
        <c:scaling>
          <c:orientation val="minMax"/>
          <c:min val="6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7773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0</xdr:row>
      <xdr:rowOff>104775</xdr:rowOff>
    </xdr:from>
    <xdr:to>
      <xdr:col>15</xdr:col>
      <xdr:colOff>409574</xdr:colOff>
      <xdr:row>18</xdr:row>
      <xdr:rowOff>61912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828675</xdr:colOff>
      <xdr:row>65</xdr:row>
      <xdr:rowOff>100012</xdr:rowOff>
    </xdr:from>
    <xdr:to>
      <xdr:col>9</xdr:col>
      <xdr:colOff>371475</xdr:colOff>
      <xdr:row>79</xdr:row>
      <xdr:rowOff>42862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438150</xdr:colOff>
      <xdr:row>50</xdr:row>
      <xdr:rowOff>33337</xdr:rowOff>
    </xdr:from>
    <xdr:to>
      <xdr:col>7</xdr:col>
      <xdr:colOff>819150</xdr:colOff>
      <xdr:row>53</xdr:row>
      <xdr:rowOff>28575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topLeftCell="A77" workbookViewId="0">
      <selection activeCell="F91" sqref="F91"/>
    </sheetView>
  </sheetViews>
  <sheetFormatPr baseColWidth="10" defaultRowHeight="15.75" x14ac:dyDescent="0.25"/>
  <cols>
    <col min="2" max="2" width="12.75" bestFit="1" customWidth="1"/>
  </cols>
  <sheetData>
    <row r="1" spans="1:7" x14ac:dyDescent="0.25">
      <c r="C1" s="1" t="s">
        <v>0</v>
      </c>
    </row>
    <row r="4" spans="1:7" x14ac:dyDescent="0.25">
      <c r="A4" s="2" t="s">
        <v>1</v>
      </c>
    </row>
    <row r="5" spans="1:7" x14ac:dyDescent="0.25">
      <c r="A5" t="s">
        <v>2</v>
      </c>
    </row>
    <row r="6" spans="1:7" x14ac:dyDescent="0.25">
      <c r="B6" s="3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14</v>
      </c>
    </row>
    <row r="7" spans="1:7" x14ac:dyDescent="0.25">
      <c r="B7" s="5">
        <v>1</v>
      </c>
      <c r="C7" s="5">
        <v>57</v>
      </c>
      <c r="D7" s="5">
        <v>86</v>
      </c>
      <c r="E7" s="5">
        <f>C7*D7</f>
        <v>4902</v>
      </c>
      <c r="F7" s="5">
        <f>C7*C7</f>
        <v>3249</v>
      </c>
      <c r="G7" s="5">
        <f>D7*D7</f>
        <v>7396</v>
      </c>
    </row>
    <row r="8" spans="1:7" x14ac:dyDescent="0.25">
      <c r="B8" s="5">
        <v>2</v>
      </c>
      <c r="C8" s="5">
        <v>60</v>
      </c>
      <c r="D8" s="5">
        <v>93</v>
      </c>
      <c r="E8" s="5">
        <f t="shared" ref="E8:E16" si="0">C8*D8</f>
        <v>5580</v>
      </c>
      <c r="F8" s="5">
        <f t="shared" ref="F8:G16" si="1">C8*C8</f>
        <v>3600</v>
      </c>
      <c r="G8" s="5">
        <f t="shared" si="1"/>
        <v>8649</v>
      </c>
    </row>
    <row r="9" spans="1:7" x14ac:dyDescent="0.25">
      <c r="B9" s="5">
        <v>3</v>
      </c>
      <c r="C9" s="5">
        <v>52</v>
      </c>
      <c r="D9" s="5">
        <v>77</v>
      </c>
      <c r="E9" s="5">
        <f t="shared" si="0"/>
        <v>4004</v>
      </c>
      <c r="F9" s="5">
        <f t="shared" si="1"/>
        <v>2704</v>
      </c>
      <c r="G9" s="5">
        <f t="shared" si="1"/>
        <v>5929</v>
      </c>
    </row>
    <row r="10" spans="1:7" x14ac:dyDescent="0.25">
      <c r="B10" s="5">
        <v>4</v>
      </c>
      <c r="C10" s="5">
        <v>49</v>
      </c>
      <c r="D10" s="5">
        <v>67</v>
      </c>
      <c r="E10" s="5">
        <f t="shared" si="0"/>
        <v>3283</v>
      </c>
      <c r="F10" s="5">
        <f t="shared" si="1"/>
        <v>2401</v>
      </c>
      <c r="G10" s="5">
        <f t="shared" si="1"/>
        <v>4489</v>
      </c>
    </row>
    <row r="11" spans="1:7" x14ac:dyDescent="0.25">
      <c r="B11" s="5">
        <v>5</v>
      </c>
      <c r="C11" s="5">
        <v>56</v>
      </c>
      <c r="D11" s="5">
        <v>81</v>
      </c>
      <c r="E11" s="5">
        <f t="shared" si="0"/>
        <v>4536</v>
      </c>
      <c r="F11" s="5">
        <f t="shared" si="1"/>
        <v>3136</v>
      </c>
      <c r="G11" s="5">
        <f t="shared" si="1"/>
        <v>6561</v>
      </c>
    </row>
    <row r="12" spans="1:7" x14ac:dyDescent="0.25">
      <c r="B12" s="5">
        <v>6</v>
      </c>
      <c r="C12" s="5">
        <v>46</v>
      </c>
      <c r="D12" s="5">
        <v>70</v>
      </c>
      <c r="E12" s="5">
        <f t="shared" si="0"/>
        <v>3220</v>
      </c>
      <c r="F12" s="5">
        <f t="shared" si="1"/>
        <v>2116</v>
      </c>
      <c r="G12" s="5">
        <f t="shared" si="1"/>
        <v>4900</v>
      </c>
    </row>
    <row r="13" spans="1:7" x14ac:dyDescent="0.25">
      <c r="B13" s="5">
        <v>7</v>
      </c>
      <c r="C13" s="5">
        <v>51</v>
      </c>
      <c r="D13" s="5">
        <v>71</v>
      </c>
      <c r="E13" s="5">
        <f t="shared" si="0"/>
        <v>3621</v>
      </c>
      <c r="F13" s="5">
        <f t="shared" si="1"/>
        <v>2601</v>
      </c>
      <c r="G13" s="5">
        <f t="shared" si="1"/>
        <v>5041</v>
      </c>
    </row>
    <row r="14" spans="1:7" x14ac:dyDescent="0.25">
      <c r="B14" s="5">
        <v>8</v>
      </c>
      <c r="C14" s="5">
        <v>63</v>
      </c>
      <c r="D14" s="5">
        <v>91</v>
      </c>
      <c r="E14" s="5">
        <f t="shared" si="0"/>
        <v>5733</v>
      </c>
      <c r="F14" s="5">
        <f t="shared" si="1"/>
        <v>3969</v>
      </c>
      <c r="G14" s="5">
        <f t="shared" si="1"/>
        <v>8281</v>
      </c>
    </row>
    <row r="15" spans="1:7" x14ac:dyDescent="0.25">
      <c r="B15" s="5">
        <v>9</v>
      </c>
      <c r="C15" s="5">
        <v>49</v>
      </c>
      <c r="D15" s="5">
        <v>67</v>
      </c>
      <c r="E15" s="5">
        <f t="shared" si="0"/>
        <v>3283</v>
      </c>
      <c r="F15" s="5">
        <f t="shared" si="1"/>
        <v>2401</v>
      </c>
      <c r="G15" s="5">
        <f t="shared" si="1"/>
        <v>4489</v>
      </c>
    </row>
    <row r="16" spans="1:7" x14ac:dyDescent="0.25">
      <c r="B16" s="5">
        <v>10</v>
      </c>
      <c r="C16" s="5">
        <v>57</v>
      </c>
      <c r="D16" s="5">
        <v>82</v>
      </c>
      <c r="E16" s="5">
        <f t="shared" si="0"/>
        <v>4674</v>
      </c>
      <c r="F16" s="5">
        <f t="shared" si="1"/>
        <v>3249</v>
      </c>
      <c r="G16" s="5">
        <f t="shared" si="1"/>
        <v>6724</v>
      </c>
    </row>
    <row r="17" spans="1:9" x14ac:dyDescent="0.25">
      <c r="B17" s="6"/>
      <c r="C17" s="6"/>
      <c r="D17" s="6"/>
      <c r="E17" s="6"/>
      <c r="F17" s="6"/>
      <c r="G17" s="6"/>
    </row>
    <row r="18" spans="1:9" x14ac:dyDescent="0.25">
      <c r="B18" s="7" t="s">
        <v>18</v>
      </c>
      <c r="C18" s="4">
        <f t="shared" ref="C18:F18" si="2">SUM(C7:C17)</f>
        <v>540</v>
      </c>
      <c r="D18" s="4">
        <f t="shared" si="2"/>
        <v>785</v>
      </c>
      <c r="E18" s="4">
        <f t="shared" si="2"/>
        <v>42836</v>
      </c>
      <c r="F18" s="4">
        <f t="shared" si="2"/>
        <v>29426</v>
      </c>
      <c r="G18" s="4">
        <f>SUM(G7:G17)</f>
        <v>62459</v>
      </c>
    </row>
    <row r="19" spans="1:9" x14ac:dyDescent="0.25">
      <c r="A19" t="s">
        <v>8</v>
      </c>
    </row>
    <row r="20" spans="1:9" x14ac:dyDescent="0.25">
      <c r="A20" t="s">
        <v>17</v>
      </c>
      <c r="B20">
        <f>C18/B16</f>
        <v>54</v>
      </c>
    </row>
    <row r="21" spans="1:9" x14ac:dyDescent="0.25">
      <c r="A21" t="s">
        <v>23</v>
      </c>
      <c r="B21">
        <f>D18/B16</f>
        <v>78.5</v>
      </c>
      <c r="C21">
        <f>AVERAGE(D7:D16)</f>
        <v>78.5</v>
      </c>
      <c r="H21" t="s">
        <v>2</v>
      </c>
      <c r="I21" t="s">
        <v>24</v>
      </c>
    </row>
    <row r="22" spans="1:9" x14ac:dyDescent="0.25">
      <c r="A22" t="s">
        <v>19</v>
      </c>
      <c r="B22">
        <f>F18/B16-B20^2</f>
        <v>26.599999999999909</v>
      </c>
      <c r="C22">
        <f>VARPA(C7:C16)</f>
        <v>26.6</v>
      </c>
      <c r="E22">
        <f>SQRT((1/10)*F18-(C18/10)^2)</f>
        <v>5.1575187832910858</v>
      </c>
    </row>
    <row r="23" spans="1:9" x14ac:dyDescent="0.25">
      <c r="A23" t="s">
        <v>20</v>
      </c>
      <c r="B23">
        <f>(1/10)*E18-B20*B21</f>
        <v>44.600000000000364</v>
      </c>
      <c r="C23">
        <f>COVAR(C7:C16,D7:D16)</f>
        <v>44.6</v>
      </c>
      <c r="E23">
        <f>SQRT((1/10)*G18-(D18/10)^2)</f>
        <v>9.1460373933196095</v>
      </c>
    </row>
    <row r="24" spans="1:9" x14ac:dyDescent="0.25">
      <c r="A24" t="s">
        <v>21</v>
      </c>
      <c r="B24">
        <f>B23/B22</f>
        <v>1.6766917293233277</v>
      </c>
    </row>
    <row r="25" spans="1:9" x14ac:dyDescent="0.25">
      <c r="A25" t="s">
        <v>22</v>
      </c>
      <c r="B25">
        <f>B21-B24*B20</f>
        <v>-12.041353383459693</v>
      </c>
    </row>
    <row r="26" spans="1:9" x14ac:dyDescent="0.25">
      <c r="A26" t="s">
        <v>26</v>
      </c>
      <c r="B26" t="s">
        <v>25</v>
      </c>
    </row>
    <row r="28" spans="1:9" x14ac:dyDescent="0.25">
      <c r="A28" t="s">
        <v>15</v>
      </c>
      <c r="B28" t="s">
        <v>27</v>
      </c>
      <c r="C28" t="s">
        <v>28</v>
      </c>
      <c r="D28">
        <f>B24*55+B25</f>
        <v>80.176691729323323</v>
      </c>
    </row>
    <row r="30" spans="1:9" x14ac:dyDescent="0.25">
      <c r="C30" t="s">
        <v>29</v>
      </c>
      <c r="E30">
        <f>D28*1000</f>
        <v>80176.691729323327</v>
      </c>
      <c r="F30" t="s">
        <v>30</v>
      </c>
    </row>
    <row r="31" spans="1:9" x14ac:dyDescent="0.25">
      <c r="A31" t="s">
        <v>8</v>
      </c>
    </row>
    <row r="36" spans="1:9" x14ac:dyDescent="0.25">
      <c r="A36" s="8" t="s">
        <v>9</v>
      </c>
    </row>
    <row r="37" spans="1:9" ht="25.5" x14ac:dyDescent="0.25">
      <c r="A37" s="9" t="s">
        <v>10</v>
      </c>
      <c r="B37" s="9" t="s">
        <v>11</v>
      </c>
      <c r="C37" s="10" t="s">
        <v>4</v>
      </c>
      <c r="D37" s="10" t="s">
        <v>5</v>
      </c>
      <c r="E37" s="4" t="s">
        <v>12</v>
      </c>
      <c r="F37" s="4" t="s">
        <v>13</v>
      </c>
      <c r="G37" s="4" t="s">
        <v>6</v>
      </c>
      <c r="H37" s="4" t="s">
        <v>7</v>
      </c>
      <c r="I37" s="4" t="s">
        <v>14</v>
      </c>
    </row>
    <row r="38" spans="1:9" x14ac:dyDescent="0.25">
      <c r="A38" s="5">
        <v>2011</v>
      </c>
      <c r="B38" s="5">
        <v>1</v>
      </c>
      <c r="C38" s="5">
        <v>63</v>
      </c>
      <c r="D38" s="5">
        <v>88</v>
      </c>
      <c r="E38" s="5">
        <f>B38^2</f>
        <v>1</v>
      </c>
      <c r="F38" s="5">
        <f>C38*B38</f>
        <v>63</v>
      </c>
      <c r="G38" s="5">
        <f>D38*C38</f>
        <v>5544</v>
      </c>
      <c r="H38" s="5">
        <f>C38^2</f>
        <v>3969</v>
      </c>
      <c r="I38" s="5">
        <f>D38^2</f>
        <v>7744</v>
      </c>
    </row>
    <row r="39" spans="1:9" x14ac:dyDescent="0.25">
      <c r="A39" s="5">
        <f>A38+1</f>
        <v>2012</v>
      </c>
      <c r="B39" s="5">
        <v>2</v>
      </c>
      <c r="C39" s="5">
        <v>65</v>
      </c>
      <c r="D39" s="5">
        <v>87</v>
      </c>
      <c r="E39" s="5">
        <f t="shared" ref="E39:E47" si="3">B39^2</f>
        <v>4</v>
      </c>
      <c r="F39" s="5">
        <f t="shared" ref="F39:F47" si="4">C39*B39</f>
        <v>130</v>
      </c>
      <c r="G39" s="5">
        <f t="shared" ref="G39:G47" si="5">D39*C39</f>
        <v>5655</v>
      </c>
      <c r="H39" s="5">
        <f t="shared" ref="H39:H47" si="6">C39^2</f>
        <v>4225</v>
      </c>
      <c r="I39" s="5">
        <f t="shared" ref="I39:I47" si="7">D39^2</f>
        <v>7569</v>
      </c>
    </row>
    <row r="40" spans="1:9" x14ac:dyDescent="0.25">
      <c r="A40" s="5">
        <f t="shared" ref="A40:A47" si="8">A39+1</f>
        <v>2013</v>
      </c>
      <c r="B40" s="5">
        <v>3</v>
      </c>
      <c r="C40" s="5">
        <v>64</v>
      </c>
      <c r="D40" s="5">
        <v>96</v>
      </c>
      <c r="E40" s="5">
        <f t="shared" si="3"/>
        <v>9</v>
      </c>
      <c r="F40" s="5">
        <f t="shared" si="4"/>
        <v>192</v>
      </c>
      <c r="G40" s="5">
        <f t="shared" si="5"/>
        <v>6144</v>
      </c>
      <c r="H40" s="5">
        <f t="shared" si="6"/>
        <v>4096</v>
      </c>
      <c r="I40" s="5">
        <f t="shared" si="7"/>
        <v>9216</v>
      </c>
    </row>
    <row r="41" spans="1:9" x14ac:dyDescent="0.25">
      <c r="A41" s="5">
        <f t="shared" si="8"/>
        <v>2014</v>
      </c>
      <c r="B41" s="5">
        <v>4</v>
      </c>
      <c r="C41" s="5">
        <v>66</v>
      </c>
      <c r="D41" s="5">
        <v>106</v>
      </c>
      <c r="E41" s="5">
        <f t="shared" si="3"/>
        <v>16</v>
      </c>
      <c r="F41" s="5">
        <f t="shared" si="4"/>
        <v>264</v>
      </c>
      <c r="G41" s="5">
        <f t="shared" si="5"/>
        <v>6996</v>
      </c>
      <c r="H41" s="5">
        <f t="shared" si="6"/>
        <v>4356</v>
      </c>
      <c r="I41" s="5">
        <f t="shared" si="7"/>
        <v>11236</v>
      </c>
    </row>
    <row r="42" spans="1:9" x14ac:dyDescent="0.25">
      <c r="A42" s="5">
        <f t="shared" si="8"/>
        <v>2015</v>
      </c>
      <c r="B42" s="5">
        <v>5</v>
      </c>
      <c r="C42" s="5">
        <v>69</v>
      </c>
      <c r="D42" s="5">
        <v>117</v>
      </c>
      <c r="E42" s="5">
        <f t="shared" si="3"/>
        <v>25</v>
      </c>
      <c r="F42" s="5">
        <f t="shared" si="4"/>
        <v>345</v>
      </c>
      <c r="G42" s="5">
        <f t="shared" si="5"/>
        <v>8073</v>
      </c>
      <c r="H42" s="5">
        <f t="shared" si="6"/>
        <v>4761</v>
      </c>
      <c r="I42" s="5">
        <f t="shared" si="7"/>
        <v>13689</v>
      </c>
    </row>
    <row r="43" spans="1:9" x14ac:dyDescent="0.25">
      <c r="A43" s="5">
        <f t="shared" si="8"/>
        <v>2016</v>
      </c>
      <c r="B43" s="5">
        <v>6</v>
      </c>
      <c r="C43" s="5">
        <v>71</v>
      </c>
      <c r="D43" s="5">
        <v>118</v>
      </c>
      <c r="E43" s="5">
        <f t="shared" si="3"/>
        <v>36</v>
      </c>
      <c r="F43" s="5">
        <f t="shared" si="4"/>
        <v>426</v>
      </c>
      <c r="G43" s="5">
        <f t="shared" si="5"/>
        <v>8378</v>
      </c>
      <c r="H43" s="5">
        <f t="shared" si="6"/>
        <v>5041</v>
      </c>
      <c r="I43" s="5">
        <f t="shared" si="7"/>
        <v>13924</v>
      </c>
    </row>
    <row r="44" spans="1:9" x14ac:dyDescent="0.25">
      <c r="A44" s="5">
        <f t="shared" si="8"/>
        <v>2017</v>
      </c>
      <c r="B44" s="5">
        <v>7</v>
      </c>
      <c r="C44" s="5">
        <v>75</v>
      </c>
      <c r="D44" s="5">
        <v>126</v>
      </c>
      <c r="E44" s="5">
        <f t="shared" si="3"/>
        <v>49</v>
      </c>
      <c r="F44" s="5">
        <f t="shared" si="4"/>
        <v>525</v>
      </c>
      <c r="G44" s="5">
        <f t="shared" si="5"/>
        <v>9450</v>
      </c>
      <c r="H44" s="5">
        <f t="shared" si="6"/>
        <v>5625</v>
      </c>
      <c r="I44" s="5">
        <f t="shared" si="7"/>
        <v>15876</v>
      </c>
    </row>
    <row r="45" spans="1:9" x14ac:dyDescent="0.25">
      <c r="A45" s="5">
        <f t="shared" si="8"/>
        <v>2018</v>
      </c>
      <c r="B45" s="5">
        <v>8</v>
      </c>
      <c r="C45" s="5">
        <v>76</v>
      </c>
      <c r="D45" s="5">
        <v>134</v>
      </c>
      <c r="E45" s="5">
        <f t="shared" si="3"/>
        <v>64</v>
      </c>
      <c r="F45" s="5">
        <f t="shared" si="4"/>
        <v>608</v>
      </c>
      <c r="G45" s="5">
        <f t="shared" si="5"/>
        <v>10184</v>
      </c>
      <c r="H45" s="5">
        <f t="shared" si="6"/>
        <v>5776</v>
      </c>
      <c r="I45" s="5">
        <f t="shared" si="7"/>
        <v>17956</v>
      </c>
    </row>
    <row r="46" spans="1:9" x14ac:dyDescent="0.25">
      <c r="A46" s="5">
        <f t="shared" si="8"/>
        <v>2019</v>
      </c>
      <c r="B46" s="5">
        <v>9</v>
      </c>
      <c r="C46" s="5">
        <v>80</v>
      </c>
      <c r="D46" s="5">
        <v>130</v>
      </c>
      <c r="E46" s="5">
        <f t="shared" si="3"/>
        <v>81</v>
      </c>
      <c r="F46" s="5">
        <f t="shared" si="4"/>
        <v>720</v>
      </c>
      <c r="G46" s="5">
        <f t="shared" si="5"/>
        <v>10400</v>
      </c>
      <c r="H46" s="5">
        <f t="shared" si="6"/>
        <v>6400</v>
      </c>
      <c r="I46" s="5">
        <f t="shared" si="7"/>
        <v>16900</v>
      </c>
    </row>
    <row r="47" spans="1:9" x14ac:dyDescent="0.25">
      <c r="A47" s="5">
        <f t="shared" si="8"/>
        <v>2020</v>
      </c>
      <c r="B47" s="5">
        <v>10</v>
      </c>
      <c r="C47" s="5">
        <v>81</v>
      </c>
      <c r="D47" s="5">
        <v>138</v>
      </c>
      <c r="E47" s="5">
        <f t="shared" si="3"/>
        <v>100</v>
      </c>
      <c r="F47" s="5">
        <f t="shared" si="4"/>
        <v>810</v>
      </c>
      <c r="G47" s="5">
        <f t="shared" si="5"/>
        <v>11178</v>
      </c>
      <c r="H47" s="5">
        <f t="shared" si="6"/>
        <v>6561</v>
      </c>
      <c r="I47" s="5">
        <f t="shared" si="7"/>
        <v>19044</v>
      </c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11" t="s">
        <v>18</v>
      </c>
      <c r="B49" s="11">
        <f>SUM(B38:B47)</f>
        <v>55</v>
      </c>
      <c r="C49" s="11">
        <f t="shared" ref="C49:I49" si="9">SUM(C38:C47)</f>
        <v>710</v>
      </c>
      <c r="D49" s="11">
        <f t="shared" si="9"/>
        <v>1140</v>
      </c>
      <c r="E49" s="11">
        <f t="shared" si="9"/>
        <v>385</v>
      </c>
      <c r="F49" s="11">
        <f t="shared" si="9"/>
        <v>4083</v>
      </c>
      <c r="G49" s="11">
        <f t="shared" si="9"/>
        <v>82002</v>
      </c>
      <c r="H49" s="11">
        <f t="shared" si="9"/>
        <v>50810</v>
      </c>
      <c r="I49" s="11">
        <f t="shared" si="9"/>
        <v>133154</v>
      </c>
    </row>
    <row r="51" spans="1:9" x14ac:dyDescent="0.25">
      <c r="A51" t="s">
        <v>2</v>
      </c>
    </row>
    <row r="52" spans="1:9" ht="173.25" customHeight="1" x14ac:dyDescent="0.25"/>
    <row r="53" spans="1:9" x14ac:dyDescent="0.25">
      <c r="A53" t="s">
        <v>8</v>
      </c>
    </row>
    <row r="54" spans="1:9" x14ac:dyDescent="0.25">
      <c r="A54" t="s">
        <v>32</v>
      </c>
      <c r="B54">
        <f>B49/10</f>
        <v>5.5</v>
      </c>
    </row>
    <row r="55" spans="1:9" x14ac:dyDescent="0.25">
      <c r="A55" t="s">
        <v>17</v>
      </c>
      <c r="B55">
        <f>C49/10</f>
        <v>71</v>
      </c>
    </row>
    <row r="56" spans="1:9" x14ac:dyDescent="0.25">
      <c r="A56" t="s">
        <v>33</v>
      </c>
      <c r="B56">
        <f>E49/10-B54^2</f>
        <v>8.25</v>
      </c>
      <c r="C56">
        <f>VARPA(B38:B47)</f>
        <v>8.25</v>
      </c>
    </row>
    <row r="57" spans="1:9" x14ac:dyDescent="0.25">
      <c r="A57" t="s">
        <v>34</v>
      </c>
      <c r="B57">
        <f>F49/10-B54*B55</f>
        <v>17.800000000000011</v>
      </c>
      <c r="C57">
        <f>COVAR(B38:B47,C38:C47)</f>
        <v>17.8</v>
      </c>
    </row>
    <row r="58" spans="1:9" x14ac:dyDescent="0.25">
      <c r="A58" t="s">
        <v>21</v>
      </c>
      <c r="B58">
        <f>C57/B56</f>
        <v>2.1575757575757577</v>
      </c>
    </row>
    <row r="59" spans="1:9" x14ac:dyDescent="0.25">
      <c r="A59" t="s">
        <v>22</v>
      </c>
      <c r="B59">
        <f>B55-B58*B54</f>
        <v>59.133333333333333</v>
      </c>
    </row>
    <row r="60" spans="1:9" x14ac:dyDescent="0.25">
      <c r="A60" t="s">
        <v>26</v>
      </c>
      <c r="B60" t="s">
        <v>35</v>
      </c>
    </row>
    <row r="63" spans="1:9" x14ac:dyDescent="0.25">
      <c r="A63" t="s">
        <v>15</v>
      </c>
    </row>
    <row r="64" spans="1:9" x14ac:dyDescent="0.25">
      <c r="A64" t="s">
        <v>40</v>
      </c>
    </row>
    <row r="65" spans="1:3" x14ac:dyDescent="0.25">
      <c r="A65" t="s">
        <v>39</v>
      </c>
      <c r="B65">
        <f>B75/(SQRT(H49/10-B72^2)*SQRT(I49/10-B73^2))</f>
        <v>0.93956550797141403</v>
      </c>
    </row>
    <row r="67" spans="1:3" x14ac:dyDescent="0.25">
      <c r="A67" t="s">
        <v>16</v>
      </c>
    </row>
    <row r="72" spans="1:3" x14ac:dyDescent="0.25">
      <c r="A72" t="s">
        <v>17</v>
      </c>
      <c r="B72">
        <f>C49/10</f>
        <v>71</v>
      </c>
    </row>
    <row r="73" spans="1:3" x14ac:dyDescent="0.25">
      <c r="A73" t="s">
        <v>23</v>
      </c>
      <c r="B73">
        <f>D49/10</f>
        <v>114</v>
      </c>
    </row>
    <row r="74" spans="1:3" x14ac:dyDescent="0.25">
      <c r="A74" t="s">
        <v>19</v>
      </c>
      <c r="B74">
        <f>H49/10-B72^2</f>
        <v>40</v>
      </c>
      <c r="C74">
        <f>VARPA(C38:C47)</f>
        <v>40</v>
      </c>
    </row>
    <row r="75" spans="1:3" x14ac:dyDescent="0.25">
      <c r="A75" t="s">
        <v>20</v>
      </c>
      <c r="B75">
        <f>G49/10-B72*B73</f>
        <v>106.20000000000073</v>
      </c>
      <c r="C75">
        <f>COVAR(C38:C47,D38:D47)</f>
        <v>106.2</v>
      </c>
    </row>
    <row r="76" spans="1:3" x14ac:dyDescent="0.25">
      <c r="A76" t="s">
        <v>21</v>
      </c>
      <c r="B76">
        <f>B75/B74</f>
        <v>2.655000000000018</v>
      </c>
    </row>
    <row r="77" spans="1:3" x14ac:dyDescent="0.25">
      <c r="A77" t="s">
        <v>22</v>
      </c>
      <c r="B77">
        <f>B73-B76*B72</f>
        <v>-74.505000000001274</v>
      </c>
    </row>
    <row r="78" spans="1:3" x14ac:dyDescent="0.25">
      <c r="A78" t="s">
        <v>26</v>
      </c>
      <c r="B78" t="s">
        <v>31</v>
      </c>
    </row>
    <row r="82" spans="1:3" x14ac:dyDescent="0.25">
      <c r="A82" t="s">
        <v>36</v>
      </c>
    </row>
    <row r="83" spans="1:3" x14ac:dyDescent="0.25">
      <c r="A83">
        <v>2025</v>
      </c>
      <c r="B83" t="s">
        <v>37</v>
      </c>
    </row>
    <row r="84" spans="1:3" x14ac:dyDescent="0.25">
      <c r="A84" t="s">
        <v>41</v>
      </c>
    </row>
    <row r="86" spans="1:3" x14ac:dyDescent="0.25">
      <c r="A86" t="s">
        <v>42</v>
      </c>
    </row>
    <row r="87" spans="1:3" x14ac:dyDescent="0.25">
      <c r="A87" t="s">
        <v>38</v>
      </c>
      <c r="C87">
        <f>B76*(B58*15+B59) +B77</f>
        <v>168.41945454545493</v>
      </c>
    </row>
    <row r="88" spans="1:3" x14ac:dyDescent="0.25">
      <c r="A88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Dorian Bucchiotty</cp:lastModifiedBy>
  <dcterms:created xsi:type="dcterms:W3CDTF">2022-03-22T10:56:41Z</dcterms:created>
  <dcterms:modified xsi:type="dcterms:W3CDTF">2023-06-02T06:21:03Z</dcterms:modified>
</cp:coreProperties>
</file>