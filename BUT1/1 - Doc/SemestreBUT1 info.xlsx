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C7" i="1" l="1"/>
  <c r="G8" i="1"/>
  <c r="H5" i="1"/>
  <c r="E5" i="1"/>
  <c r="H18" i="1"/>
  <c r="H17" i="1"/>
  <c r="G14" i="1"/>
  <c r="G19" i="1" s="1"/>
  <c r="G20" i="1" s="1"/>
  <c r="F11" i="1"/>
  <c r="E10" i="1"/>
  <c r="E9" i="1"/>
  <c r="D13" i="1"/>
  <c r="F15" i="1"/>
  <c r="D12" i="1"/>
  <c r="D10" i="1"/>
  <c r="H15" i="1"/>
  <c r="E17" i="1"/>
  <c r="G17" i="1"/>
  <c r="H16" i="1"/>
  <c r="D5" i="1"/>
  <c r="G5" i="1"/>
  <c r="C5" i="1"/>
  <c r="F5" i="1"/>
  <c r="C8" i="1" l="1"/>
  <c r="C19" i="1" s="1"/>
  <c r="C20" i="1" s="1"/>
  <c r="H14" i="1"/>
  <c r="C16" i="1"/>
  <c r="E16" i="1"/>
  <c r="E19" i="1" s="1"/>
  <c r="E20" i="1" s="1"/>
  <c r="H8" i="1"/>
  <c r="H19" i="1" s="1"/>
  <c r="H20" i="1" s="1"/>
  <c r="D7" i="1"/>
  <c r="D9" i="1"/>
  <c r="F12" i="1"/>
  <c r="F19" i="1" s="1"/>
  <c r="F20" i="1" s="1"/>
  <c r="D19" i="1" l="1"/>
  <c r="D20" i="1" s="1"/>
</calcChain>
</file>

<file path=xl/sharedStrings.xml><?xml version="1.0" encoding="utf-8"?>
<sst xmlns="http://schemas.openxmlformats.org/spreadsheetml/2006/main" count="27" uniqueCount="21">
  <si>
    <t>UE1.1</t>
  </si>
  <si>
    <t>UE1.2</t>
  </si>
  <si>
    <t>UE1.3</t>
  </si>
  <si>
    <t>UE1.4</t>
  </si>
  <si>
    <t>UE1.5</t>
  </si>
  <si>
    <t>UE1.6</t>
  </si>
  <si>
    <t>R1.10</t>
  </si>
  <si>
    <t>R1.09</t>
  </si>
  <si>
    <t>R1.08</t>
  </si>
  <si>
    <t>R1.07</t>
  </si>
  <si>
    <t>R1.06</t>
  </si>
  <si>
    <t>R1.05</t>
  </si>
  <si>
    <t>R1.04</t>
  </si>
  <si>
    <t>R1.03</t>
  </si>
  <si>
    <t>R1.02</t>
  </si>
  <si>
    <t>R1.01</t>
  </si>
  <si>
    <t>R1.11</t>
  </si>
  <si>
    <t>R1.12</t>
  </si>
  <si>
    <t>à remplir</t>
  </si>
  <si>
    <t>Note Saé :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</si>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</sst>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0"/>
  <sheetViews>
    <sheetView tabSelected="1" zoomScaleNormal="100" workbookViewId="0">
      <selection activeCell="G13" sqref="G13"/>
    </sheetView>
  </sheetViews>
  <sheetFormatPr baseColWidth="10" defaultColWidth="9.140625" defaultRowHeight="15" x14ac:dyDescent="0.25"/>
  <cols>
    <col min="1" max="1" width="9.42578125" style="2" bestFit="1" customWidth="1"/>
    <col min="2" max="2" width="10" style="2" bestFit="1" customWidth="1"/>
    <col min="3" max="16384" width="9.140625" style="2"/>
  </cols>
  <sheetData>
    <row r="2" spans="1:18" ht="15.75" thickBot="1" x14ac:dyDescent="0.3"/>
    <row r="3" spans="1:18" ht="15.75" thickBot="1" x14ac:dyDescent="0.3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5" t="s">
        <v>5</v>
      </c>
      <c r="J3" s="9" t="s">
        <v>0</v>
      </c>
      <c r="K3" s="10" t="s">
        <v>1</v>
      </c>
      <c r="L3" s="10" t="s">
        <v>2</v>
      </c>
      <c r="M3" s="10" t="s">
        <v>3</v>
      </c>
      <c r="N3" s="10" t="s">
        <v>4</v>
      </c>
      <c r="O3" s="11" t="s">
        <v>5</v>
      </c>
    </row>
    <row r="4" spans="1:18" x14ac:dyDescent="0.25">
      <c r="B4" s="1" t="s">
        <v>19</v>
      </c>
      <c r="C4" s="37"/>
      <c r="D4" s="32"/>
      <c r="E4" s="32"/>
      <c r="F4" s="32"/>
      <c r="G4" s="32"/>
      <c r="H4" s="33"/>
      <c r="J4" s="12"/>
      <c r="K4" s="13"/>
      <c r="L4" s="13"/>
      <c r="M4" s="13"/>
      <c r="N4" s="13"/>
      <c r="O4" s="14"/>
      <c r="R4" s="36" t="s">
        <v>18</v>
      </c>
    </row>
    <row r="5" spans="1:18" ht="15.75" thickBot="1" x14ac:dyDescent="0.3">
      <c r="C5" s="20">
        <f t="shared" ref="C5:H5" si="0">(C4*J5)/J5</f>
        <v>0</v>
      </c>
      <c r="D5" s="21">
        <f t="shared" si="0"/>
        <v>0</v>
      </c>
      <c r="E5" s="21">
        <f t="shared" si="0"/>
        <v>0</v>
      </c>
      <c r="F5" s="21">
        <f t="shared" si="0"/>
        <v>0</v>
      </c>
      <c r="G5" s="21">
        <f t="shared" si="0"/>
        <v>0</v>
      </c>
      <c r="H5" s="22">
        <f t="shared" si="0"/>
        <v>0</v>
      </c>
      <c r="J5" s="17">
        <v>40</v>
      </c>
      <c r="K5" s="18">
        <v>40</v>
      </c>
      <c r="L5" s="18">
        <v>40</v>
      </c>
      <c r="M5" s="18">
        <v>40</v>
      </c>
      <c r="N5" s="18">
        <v>40</v>
      </c>
      <c r="O5" s="19">
        <v>40</v>
      </c>
    </row>
    <row r="6" spans="1:18" ht="14.25" customHeight="1" thickBot="1" x14ac:dyDescent="0.3">
      <c r="A6" s="1" t="s">
        <v>20</v>
      </c>
      <c r="C6" s="29"/>
      <c r="D6" s="29"/>
      <c r="E6" s="29"/>
      <c r="F6" s="29"/>
      <c r="G6" s="29"/>
      <c r="H6" s="29"/>
    </row>
    <row r="7" spans="1:18" x14ac:dyDescent="0.25">
      <c r="A7" s="34"/>
      <c r="B7" s="8" t="s">
        <v>15</v>
      </c>
      <c r="C7" s="25">
        <f>A7</f>
        <v>0</v>
      </c>
      <c r="D7" s="27">
        <f>A7</f>
        <v>0</v>
      </c>
      <c r="E7" s="27"/>
      <c r="F7" s="27"/>
      <c r="G7" s="27"/>
      <c r="H7" s="28"/>
      <c r="J7" s="12">
        <v>42</v>
      </c>
      <c r="K7" s="13">
        <v>24</v>
      </c>
      <c r="L7" s="13"/>
      <c r="M7" s="13"/>
      <c r="N7" s="13"/>
      <c r="O7" s="14"/>
    </row>
    <row r="8" spans="1:18" x14ac:dyDescent="0.25">
      <c r="A8" s="34"/>
      <c r="B8" s="8" t="s">
        <v>14</v>
      </c>
      <c r="C8" s="23">
        <f>A8</f>
        <v>0</v>
      </c>
      <c r="D8" s="6"/>
      <c r="E8" s="6"/>
      <c r="F8" s="6"/>
      <c r="G8" s="6">
        <f>A8</f>
        <v>0</v>
      </c>
      <c r="H8" s="26">
        <f>A8</f>
        <v>0</v>
      </c>
      <c r="J8" s="15">
        <v>12</v>
      </c>
      <c r="K8" s="1"/>
      <c r="L8" s="1"/>
      <c r="M8" s="1"/>
      <c r="N8" s="1">
        <v>18</v>
      </c>
      <c r="O8" s="16">
        <v>5</v>
      </c>
    </row>
    <row r="9" spans="1:18" x14ac:dyDescent="0.25">
      <c r="A9" s="34"/>
      <c r="B9" s="8" t="s">
        <v>13</v>
      </c>
      <c r="C9" s="30"/>
      <c r="D9" s="6">
        <f>A9</f>
        <v>0</v>
      </c>
      <c r="E9" s="6">
        <f>A9</f>
        <v>0</v>
      </c>
      <c r="F9" s="6"/>
      <c r="G9" s="6"/>
      <c r="H9" s="26"/>
      <c r="J9" s="15"/>
      <c r="K9" s="1">
        <v>3</v>
      </c>
      <c r="L9" s="1">
        <v>21</v>
      </c>
      <c r="M9" s="1"/>
      <c r="N9" s="1"/>
      <c r="O9" s="16"/>
    </row>
    <row r="10" spans="1:18" x14ac:dyDescent="0.25">
      <c r="A10" s="34"/>
      <c r="B10" s="8" t="s">
        <v>12</v>
      </c>
      <c r="C10" s="30"/>
      <c r="D10" s="6">
        <f>A10</f>
        <v>0</v>
      </c>
      <c r="E10" s="6">
        <f>A10</f>
        <v>0</v>
      </c>
      <c r="F10" s="6"/>
      <c r="G10" s="6"/>
      <c r="H10" s="26"/>
      <c r="J10" s="15"/>
      <c r="K10" s="1">
        <v>3</v>
      </c>
      <c r="L10" s="1">
        <v>21</v>
      </c>
      <c r="M10" s="1"/>
      <c r="N10" s="1"/>
      <c r="O10" s="16"/>
    </row>
    <row r="11" spans="1:18" x14ac:dyDescent="0.25">
      <c r="A11" s="34"/>
      <c r="B11" s="8" t="s">
        <v>11</v>
      </c>
      <c r="C11" s="30"/>
      <c r="D11" s="6"/>
      <c r="E11" s="6"/>
      <c r="F11" s="6">
        <f>A11</f>
        <v>0</v>
      </c>
      <c r="G11" s="6"/>
      <c r="H11" s="26"/>
      <c r="J11" s="15"/>
      <c r="K11" s="1"/>
      <c r="L11" s="1"/>
      <c r="M11" s="1">
        <v>36</v>
      </c>
      <c r="N11" s="1"/>
      <c r="O11" s="16"/>
    </row>
    <row r="12" spans="1:18" x14ac:dyDescent="0.25">
      <c r="A12" s="34"/>
      <c r="B12" s="8" t="s">
        <v>10</v>
      </c>
      <c r="C12" s="30"/>
      <c r="D12" s="6">
        <f>A12</f>
        <v>0</v>
      </c>
      <c r="E12" s="6"/>
      <c r="F12" s="6">
        <f>A12</f>
        <v>0</v>
      </c>
      <c r="G12" s="6"/>
      <c r="H12" s="26"/>
      <c r="J12" s="15"/>
      <c r="K12" s="1">
        <v>15</v>
      </c>
      <c r="L12" s="1"/>
      <c r="M12" s="1">
        <v>18</v>
      </c>
      <c r="N12" s="1"/>
      <c r="O12" s="16"/>
    </row>
    <row r="13" spans="1:18" x14ac:dyDescent="0.25">
      <c r="A13" s="34"/>
      <c r="B13" s="8" t="s">
        <v>9</v>
      </c>
      <c r="C13" s="30"/>
      <c r="D13" s="6">
        <f>A13</f>
        <v>0</v>
      </c>
      <c r="E13" s="6"/>
      <c r="F13" s="6"/>
      <c r="G13" s="6"/>
      <c r="H13" s="26"/>
      <c r="J13" s="15"/>
      <c r="K13" s="1">
        <v>15</v>
      </c>
      <c r="L13" s="1"/>
      <c r="M13" s="1"/>
      <c r="N13" s="1"/>
      <c r="O13" s="16"/>
    </row>
    <row r="14" spans="1:18" x14ac:dyDescent="0.25">
      <c r="A14" s="34"/>
      <c r="B14" s="8" t="s">
        <v>8</v>
      </c>
      <c r="C14" s="30"/>
      <c r="D14" s="6"/>
      <c r="E14" s="6"/>
      <c r="F14" s="6"/>
      <c r="G14" s="6">
        <f>A14</f>
        <v>0</v>
      </c>
      <c r="H14" s="26">
        <f>A14</f>
        <v>0</v>
      </c>
      <c r="J14" s="15"/>
      <c r="K14" s="1"/>
      <c r="L14" s="1"/>
      <c r="M14" s="1"/>
      <c r="N14" s="1">
        <v>27</v>
      </c>
      <c r="O14" s="16">
        <v>11</v>
      </c>
    </row>
    <row r="15" spans="1:18" x14ac:dyDescent="0.25">
      <c r="A15" s="34"/>
      <c r="B15" s="8" t="s">
        <v>7</v>
      </c>
      <c r="C15" s="30"/>
      <c r="D15" s="6"/>
      <c r="E15" s="6"/>
      <c r="F15" s="6">
        <f>A15</f>
        <v>0</v>
      </c>
      <c r="G15" s="6"/>
      <c r="H15" s="26">
        <f>A15</f>
        <v>0</v>
      </c>
      <c r="J15" s="15"/>
      <c r="K15" s="1"/>
      <c r="L15" s="1"/>
      <c r="M15" s="1">
        <v>6</v>
      </c>
      <c r="N15" s="1"/>
      <c r="O15" s="16">
        <v>11</v>
      </c>
    </row>
    <row r="16" spans="1:18" x14ac:dyDescent="0.25">
      <c r="A16" s="35"/>
      <c r="B16" s="8" t="s">
        <v>6</v>
      </c>
      <c r="C16" s="23">
        <f>A16</f>
        <v>0</v>
      </c>
      <c r="D16" s="6"/>
      <c r="E16" s="24">
        <f>A16</f>
        <v>0</v>
      </c>
      <c r="F16" s="6"/>
      <c r="G16" s="6"/>
      <c r="H16" s="26">
        <f>A16</f>
        <v>0</v>
      </c>
      <c r="J16" s="15">
        <v>6</v>
      </c>
      <c r="K16" s="1"/>
      <c r="L16" s="1">
        <v>12</v>
      </c>
      <c r="M16" s="1"/>
      <c r="N16" s="1"/>
      <c r="O16" s="16">
        <v>11</v>
      </c>
    </row>
    <row r="17" spans="1:15" x14ac:dyDescent="0.25">
      <c r="A17" s="34"/>
      <c r="B17" s="8" t="s">
        <v>16</v>
      </c>
      <c r="C17" s="30"/>
      <c r="D17" s="6"/>
      <c r="E17" s="6">
        <f>A17</f>
        <v>0</v>
      </c>
      <c r="F17" s="6"/>
      <c r="G17" s="6">
        <f>A17</f>
        <v>0</v>
      </c>
      <c r="H17" s="26">
        <f>A17</f>
        <v>0</v>
      </c>
      <c r="J17" s="15"/>
      <c r="K17" s="1"/>
      <c r="L17" s="1">
        <v>6</v>
      </c>
      <c r="M17" s="1"/>
      <c r="N17" s="1">
        <v>15</v>
      </c>
      <c r="O17" s="16">
        <v>11</v>
      </c>
    </row>
    <row r="18" spans="1:15" x14ac:dyDescent="0.25">
      <c r="A18" s="34"/>
      <c r="B18" s="8" t="s">
        <v>17</v>
      </c>
      <c r="C18" s="30"/>
      <c r="D18" s="6"/>
      <c r="E18" s="6"/>
      <c r="F18" s="6"/>
      <c r="G18" s="6"/>
      <c r="H18" s="26">
        <f>A18</f>
        <v>0</v>
      </c>
      <c r="J18" s="15"/>
      <c r="K18" s="1"/>
      <c r="L18" s="1"/>
      <c r="M18" s="1"/>
      <c r="N18" s="1"/>
      <c r="O18" s="16">
        <v>11</v>
      </c>
    </row>
    <row r="19" spans="1:15" ht="15.75" thickBot="1" x14ac:dyDescent="0.3">
      <c r="C19" s="20">
        <f>((J16*C16)+(J8*C8)+(C7*J7))/J19</f>
        <v>0</v>
      </c>
      <c r="D19" s="21">
        <f>((K13*D13)+(K9*D9)+(D7*K7)+(D12*K12)+(D10*K10))/K19</f>
        <v>0</v>
      </c>
      <c r="E19" s="21">
        <f>((L16*E16)+(L10*E10)+(E9*L9)+(E17*L17))/L19</f>
        <v>0</v>
      </c>
      <c r="F19" s="21">
        <f>((M15*F15)+(M12*F12)+(F11*M11))/M19</f>
        <v>0</v>
      </c>
      <c r="G19" s="21">
        <f>((N17*G17)+(N8*G8)+(G14*N14))/N19</f>
        <v>0</v>
      </c>
      <c r="H19" s="22">
        <f>((O16*H16)+(O8*H8)+(H18*O18)+(H17*O17)+(H15*O15)+(H14*O14))/O19</f>
        <v>0</v>
      </c>
      <c r="J19" s="17">
        <v>60</v>
      </c>
      <c r="K19" s="18">
        <v>60</v>
      </c>
      <c r="L19" s="18">
        <v>60</v>
      </c>
      <c r="M19" s="18">
        <v>60</v>
      </c>
      <c r="N19" s="18">
        <v>60</v>
      </c>
      <c r="O19" s="19">
        <v>60</v>
      </c>
    </row>
    <row r="20" spans="1:15" ht="15.75" thickBot="1" x14ac:dyDescent="0.3">
      <c r="C20" s="7">
        <f t="shared" ref="C20:H20" si="1">((C19*J19)+(C5*J5))/J20</f>
        <v>0</v>
      </c>
      <c r="D20" s="7">
        <f t="shared" si="1"/>
        <v>0</v>
      </c>
      <c r="E20" s="7">
        <f t="shared" si="1"/>
        <v>0</v>
      </c>
      <c r="F20" s="7">
        <f t="shared" si="1"/>
        <v>0</v>
      </c>
      <c r="G20" s="7">
        <f t="shared" si="1"/>
        <v>0</v>
      </c>
      <c r="H20" s="31">
        <f t="shared" si="1"/>
        <v>0</v>
      </c>
      <c r="J20" s="3">
        <v>100</v>
      </c>
      <c r="K20" s="4">
        <v>100</v>
      </c>
      <c r="L20" s="4">
        <v>100</v>
      </c>
      <c r="M20" s="4">
        <v>100</v>
      </c>
      <c r="N20" s="4">
        <v>100</v>
      </c>
      <c r="O20" s="5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2022-12-10T16:59:22Z</dcterms:modified>
</cp:coreProperties>
</file>